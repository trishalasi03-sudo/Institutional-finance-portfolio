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lasingh/Downloads/"/>
    </mc:Choice>
  </mc:AlternateContent>
  <xr:revisionPtr revIDLastSave="0" documentId="8_{26C59231-F218-6242-AA70-43F4A6AA3F6A}" xr6:coauthVersionLast="47" xr6:coauthVersionMax="47" xr10:uidLastSave="{00000000-0000-0000-0000-000000000000}"/>
  <bookViews>
    <workbookView xWindow="0" yWindow="760" windowWidth="34200" windowHeight="21380" xr2:uid="{2817A315-DD9B-0944-8AD7-4B518FC3320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2" i="1" l="1"/>
  <c r="D202" i="1"/>
  <c r="B202" i="1"/>
  <c r="D15" i="1"/>
  <c r="D74" i="1" s="1"/>
  <c r="C15" i="1"/>
  <c r="B15" i="1"/>
  <c r="B74" i="1" s="1"/>
  <c r="B193" i="1"/>
  <c r="C193" i="1"/>
  <c r="D193" i="1"/>
  <c r="C192" i="1"/>
  <c r="D192" i="1"/>
  <c r="C186" i="1"/>
  <c r="D186" i="1"/>
  <c r="C194" i="1"/>
  <c r="D194" i="1"/>
  <c r="B194" i="1"/>
  <c r="B192" i="1"/>
  <c r="B186" i="1"/>
  <c r="B181" i="1"/>
  <c r="C181" i="1"/>
  <c r="B173" i="1"/>
  <c r="C173" i="1"/>
  <c r="B174" i="1"/>
  <c r="C174" i="1"/>
  <c r="B175" i="1"/>
  <c r="C175" i="1"/>
  <c r="B167" i="1"/>
  <c r="C167" i="1"/>
  <c r="B168" i="1"/>
  <c r="C168" i="1"/>
  <c r="B159" i="1"/>
  <c r="C159" i="1"/>
  <c r="B160" i="1"/>
  <c r="C160" i="1"/>
  <c r="B161" i="1"/>
  <c r="C161" i="1"/>
  <c r="B162" i="1"/>
  <c r="C162" i="1"/>
  <c r="B163" i="1"/>
  <c r="C163" i="1"/>
  <c r="B142" i="1"/>
  <c r="C141" i="1"/>
  <c r="B141" i="1"/>
  <c r="C142" i="1"/>
  <c r="B143" i="1"/>
  <c r="C143" i="1"/>
  <c r="B144" i="1"/>
  <c r="C144" i="1"/>
  <c r="B145" i="1"/>
  <c r="C145" i="1"/>
  <c r="B146" i="1"/>
  <c r="C146" i="1"/>
  <c r="B151" i="1"/>
  <c r="C151" i="1"/>
  <c r="B152" i="1"/>
  <c r="C152" i="1"/>
  <c r="B153" i="1"/>
  <c r="C153" i="1"/>
  <c r="B154" i="1"/>
  <c r="C154" i="1"/>
  <c r="C134" i="1"/>
  <c r="B134" i="1"/>
  <c r="C133" i="1"/>
  <c r="B133" i="1"/>
  <c r="B123" i="1"/>
  <c r="C123" i="1"/>
  <c r="B124" i="1"/>
  <c r="C124" i="1"/>
  <c r="B126" i="1"/>
  <c r="C126" i="1"/>
  <c r="B127" i="1"/>
  <c r="C127" i="1"/>
  <c r="B129" i="1"/>
  <c r="C129" i="1"/>
  <c r="B130" i="1"/>
  <c r="C130" i="1"/>
  <c r="A158" i="1"/>
  <c r="A157" i="1"/>
  <c r="A146" i="1"/>
  <c r="A99" i="1"/>
  <c r="A98" i="1"/>
  <c r="A87" i="1"/>
  <c r="D59" i="1"/>
  <c r="C59" i="1"/>
  <c r="B59" i="1"/>
  <c r="D52" i="1"/>
  <c r="C52" i="1"/>
  <c r="B52" i="1"/>
  <c r="B169" i="1" s="1"/>
  <c r="D47" i="1"/>
  <c r="D198" i="1" s="1"/>
  <c r="C47" i="1"/>
  <c r="C198" i="1" s="1"/>
  <c r="B47" i="1"/>
  <c r="B198" i="1" s="1"/>
  <c r="A41" i="1"/>
  <c r="A40" i="1"/>
  <c r="D30" i="1"/>
  <c r="D38" i="1" s="1"/>
  <c r="D93" i="1" s="1"/>
  <c r="C30" i="1"/>
  <c r="C38" i="1" s="1"/>
  <c r="C96" i="1" s="1"/>
  <c r="B30" i="1"/>
  <c r="B38" i="1" s="1"/>
  <c r="B155" i="1" s="1"/>
  <c r="A29" i="1"/>
  <c r="B64" i="1"/>
  <c r="C64" i="1"/>
  <c r="D64" i="1"/>
  <c r="B65" i="1"/>
  <c r="C65" i="1"/>
  <c r="D65" i="1"/>
  <c r="B67" i="1"/>
  <c r="C67" i="1"/>
  <c r="D67" i="1"/>
  <c r="B68" i="1"/>
  <c r="C68" i="1"/>
  <c r="D68" i="1"/>
  <c r="B70" i="1"/>
  <c r="C70" i="1"/>
  <c r="D70" i="1"/>
  <c r="B71" i="1"/>
  <c r="C71" i="1"/>
  <c r="D71" i="1"/>
  <c r="B73" i="1"/>
  <c r="C73" i="1"/>
  <c r="D73" i="1"/>
  <c r="C74" i="1"/>
  <c r="B75" i="1"/>
  <c r="C75" i="1"/>
  <c r="D75" i="1"/>
  <c r="B76" i="1"/>
  <c r="C76" i="1"/>
  <c r="D76" i="1"/>
  <c r="C7" i="1"/>
  <c r="C66" i="1" s="1"/>
  <c r="B18" i="1"/>
  <c r="B77" i="1" s="1"/>
  <c r="C18" i="1"/>
  <c r="C77" i="1" s="1"/>
  <c r="D18" i="1"/>
  <c r="D77" i="1" s="1"/>
  <c r="B13" i="1"/>
  <c r="B72" i="1" s="1"/>
  <c r="C13" i="1"/>
  <c r="C72" i="1" s="1"/>
  <c r="D13" i="1"/>
  <c r="D72" i="1" s="1"/>
  <c r="D7" i="1"/>
  <c r="D66" i="1" s="1"/>
  <c r="B7" i="1"/>
  <c r="B66" i="1" s="1"/>
  <c r="C10" i="1"/>
  <c r="C69" i="1" s="1"/>
  <c r="D10" i="1"/>
  <c r="D69" i="1" s="1"/>
  <c r="B10" i="1"/>
  <c r="B69" i="1" s="1"/>
  <c r="B86" i="1" l="1"/>
  <c r="C83" i="1"/>
  <c r="D85" i="1"/>
  <c r="B83" i="1"/>
  <c r="C85" i="1"/>
  <c r="D82" i="1"/>
  <c r="D87" i="1"/>
  <c r="B85" i="1"/>
  <c r="C82" i="1"/>
  <c r="C87" i="1"/>
  <c r="D84" i="1"/>
  <c r="B82" i="1"/>
  <c r="B87" i="1"/>
  <c r="C84" i="1"/>
  <c r="B88" i="1"/>
  <c r="D86" i="1"/>
  <c r="B84" i="1"/>
  <c r="D88" i="1"/>
  <c r="C86" i="1"/>
  <c r="D83" i="1"/>
  <c r="C88" i="1"/>
  <c r="B185" i="1"/>
  <c r="D187" i="1"/>
  <c r="C185" i="1"/>
  <c r="B176" i="1"/>
  <c r="D197" i="1"/>
  <c r="B187" i="1"/>
  <c r="D184" i="1"/>
  <c r="D188" i="1"/>
  <c r="C187" i="1"/>
  <c r="B188" i="1"/>
  <c r="C184" i="1"/>
  <c r="C188" i="1"/>
  <c r="B189" i="1"/>
  <c r="D185" i="1"/>
  <c r="D189" i="1"/>
  <c r="B196" i="1"/>
  <c r="C191" i="1"/>
  <c r="B197" i="1"/>
  <c r="C169" i="1"/>
  <c r="C182" i="1"/>
  <c r="B191" i="1"/>
  <c r="C189" i="1"/>
  <c r="D196" i="1"/>
  <c r="D191" i="1"/>
  <c r="C196" i="1"/>
  <c r="B182" i="1"/>
  <c r="B184" i="1"/>
  <c r="C197" i="1"/>
  <c r="C131" i="1"/>
  <c r="C125" i="1"/>
  <c r="C176" i="1"/>
  <c r="B125" i="1"/>
  <c r="C164" i="1"/>
  <c r="B164" i="1"/>
  <c r="B147" i="1"/>
  <c r="B131" i="1"/>
  <c r="B135" i="1"/>
  <c r="C91" i="1"/>
  <c r="C128" i="1"/>
  <c r="B128" i="1"/>
  <c r="C135" i="1"/>
  <c r="D91" i="1"/>
  <c r="C147" i="1"/>
  <c r="B94" i="1"/>
  <c r="D96" i="1"/>
  <c r="C94" i="1"/>
  <c r="D94" i="1"/>
  <c r="B95" i="1"/>
  <c r="C95" i="1"/>
  <c r="D95" i="1"/>
  <c r="C155" i="1"/>
  <c r="B92" i="1"/>
  <c r="C92" i="1"/>
  <c r="B90" i="1"/>
  <c r="D92" i="1"/>
  <c r="C90" i="1"/>
  <c r="B93" i="1"/>
  <c r="D90" i="1"/>
  <c r="C93" i="1"/>
  <c r="B96" i="1"/>
  <c r="B91" i="1"/>
  <c r="D53" i="1"/>
  <c r="C53" i="1"/>
  <c r="B53" i="1"/>
  <c r="B200" i="1" l="1"/>
  <c r="B201" i="1"/>
  <c r="C200" i="1"/>
  <c r="C201" i="1"/>
  <c r="D201" i="1"/>
  <c r="D200" i="1"/>
  <c r="C60" i="1"/>
  <c r="C111" i="1" s="1"/>
  <c r="C170" i="1"/>
  <c r="D60" i="1"/>
  <c r="D111" i="1" s="1"/>
  <c r="B60" i="1"/>
  <c r="B170" i="1"/>
  <c r="B111" i="1"/>
  <c r="B177" i="1" l="1"/>
  <c r="B104" i="1"/>
  <c r="B112" i="1"/>
  <c r="B106" i="1"/>
  <c r="B114" i="1"/>
  <c r="B107" i="1"/>
  <c r="B115" i="1"/>
  <c r="B108" i="1"/>
  <c r="B116" i="1"/>
  <c r="B101" i="1"/>
  <c r="B109" i="1"/>
  <c r="B113" i="1"/>
  <c r="B103" i="1"/>
  <c r="B117" i="1"/>
  <c r="B100" i="1"/>
  <c r="B102" i="1"/>
  <c r="B118" i="1"/>
  <c r="B110" i="1"/>
  <c r="B105" i="1"/>
  <c r="D100" i="1"/>
  <c r="D104" i="1"/>
  <c r="D108" i="1"/>
  <c r="D112" i="1"/>
  <c r="D116" i="1"/>
  <c r="D101" i="1"/>
  <c r="D109" i="1"/>
  <c r="D113" i="1"/>
  <c r="D102" i="1"/>
  <c r="D106" i="1"/>
  <c r="D110" i="1"/>
  <c r="D114" i="1"/>
  <c r="D118" i="1"/>
  <c r="D103" i="1"/>
  <c r="D107" i="1"/>
  <c r="D115" i="1"/>
  <c r="D117" i="1"/>
  <c r="D105" i="1"/>
  <c r="C102" i="1"/>
  <c r="C106" i="1"/>
  <c r="C114" i="1"/>
  <c r="C118" i="1"/>
  <c r="C107" i="1"/>
  <c r="C104" i="1"/>
  <c r="C177" i="1"/>
  <c r="C101" i="1"/>
  <c r="C109" i="1"/>
  <c r="C113" i="1"/>
  <c r="C100" i="1"/>
  <c r="C112" i="1"/>
  <c r="C103" i="1"/>
  <c r="C115" i="1"/>
  <c r="C108" i="1"/>
  <c r="C116" i="1"/>
  <c r="C110" i="1"/>
  <c r="C117" i="1"/>
  <c r="C105" i="1"/>
</calcChain>
</file>

<file path=xl/sharedStrings.xml><?xml version="1.0" encoding="utf-8"?>
<sst xmlns="http://schemas.openxmlformats.org/spreadsheetml/2006/main" count="169" uniqueCount="75">
  <si>
    <t>Financial modelling course</t>
  </si>
  <si>
    <t>INCOME STATEMENT</t>
  </si>
  <si>
    <t>Revenue from operations</t>
  </si>
  <si>
    <t>GROSS MARGIN</t>
  </si>
  <si>
    <t>R&amp;D</t>
  </si>
  <si>
    <t>SG&amp;A</t>
  </si>
  <si>
    <t>TOTAL OPERATING EXPENSES</t>
  </si>
  <si>
    <t>EBIT</t>
  </si>
  <si>
    <t>Depreciation&amp;Amortization (from CF)</t>
  </si>
  <si>
    <t>EBITDA</t>
  </si>
  <si>
    <t>Other income (Expense)</t>
  </si>
  <si>
    <t>Income before taxes</t>
  </si>
  <si>
    <t>Provision for income tax</t>
  </si>
  <si>
    <t>NET INCOME</t>
  </si>
  <si>
    <t>Cost of sales</t>
  </si>
  <si>
    <t>BALANCE SHEET</t>
  </si>
  <si>
    <t>ITEMS</t>
  </si>
  <si>
    <t>ASSETS</t>
  </si>
  <si>
    <t>Cash &amp; cash equivalents</t>
  </si>
  <si>
    <t>Marketable securities</t>
  </si>
  <si>
    <t>Accounts receivables, net</t>
  </si>
  <si>
    <t>Vendore non trade receivables</t>
  </si>
  <si>
    <t>Inventories</t>
  </si>
  <si>
    <t>Total current assets</t>
  </si>
  <si>
    <t>NON-CURRENT ASSETS</t>
  </si>
  <si>
    <t>Property, plant&amp;equipment</t>
  </si>
  <si>
    <t>Other non current assets</t>
  </si>
  <si>
    <t>Total non current assets</t>
  </si>
  <si>
    <t>Total assets</t>
  </si>
  <si>
    <t>Accounts payable</t>
  </si>
  <si>
    <t>Other current liabilities</t>
  </si>
  <si>
    <t>Deferred revenue</t>
  </si>
  <si>
    <t>Commercial paper</t>
  </si>
  <si>
    <t>Term debt</t>
  </si>
  <si>
    <t>Total current liabilities</t>
  </si>
  <si>
    <t>NON CURRENT LIABILITIES</t>
  </si>
  <si>
    <t>Other non current liabilities</t>
  </si>
  <si>
    <t>Total non current liabilities</t>
  </si>
  <si>
    <t>Total liabilities</t>
  </si>
  <si>
    <t>SHAREHOLDERS EQUITY</t>
  </si>
  <si>
    <t>Common stock&amp;APIC (Par $0.00001)</t>
  </si>
  <si>
    <t>Accumulated deficit</t>
  </si>
  <si>
    <t>Accumulated other comprehensive income/loss</t>
  </si>
  <si>
    <t>Total shareholders equity</t>
  </si>
  <si>
    <t>Total liabilities and  shareholders equity</t>
  </si>
  <si>
    <t>VERTICAL ANALYSIS</t>
  </si>
  <si>
    <t>HORIZONTAL ANALYSIS</t>
  </si>
  <si>
    <t>NM</t>
  </si>
  <si>
    <t>RATIO ANALYSIS</t>
  </si>
  <si>
    <t>GROWTH RATIO</t>
  </si>
  <si>
    <t>Revenue growth %</t>
  </si>
  <si>
    <t>Earnings growth</t>
  </si>
  <si>
    <t>PROFITABILITY RATIO</t>
  </si>
  <si>
    <t>GP%</t>
  </si>
  <si>
    <t>EBITDA%</t>
  </si>
  <si>
    <t>EBIT%</t>
  </si>
  <si>
    <t>Net profit%</t>
  </si>
  <si>
    <t>ROA</t>
  </si>
  <si>
    <t>ROE</t>
  </si>
  <si>
    <t>EFFICIENCY RATIO</t>
  </si>
  <si>
    <t>Asset turnover</t>
  </si>
  <si>
    <t>Inventory turnover</t>
  </si>
  <si>
    <t>Receivable turnover</t>
  </si>
  <si>
    <t>Payable Turnover</t>
  </si>
  <si>
    <t>LIQUIDITY RATIO</t>
  </si>
  <si>
    <t>Current ratio</t>
  </si>
  <si>
    <t>Quick ratio</t>
  </si>
  <si>
    <t>Cash ratio</t>
  </si>
  <si>
    <t>LEVERAGE RATIO</t>
  </si>
  <si>
    <t>Debt ratio</t>
  </si>
  <si>
    <t>Debt-equity</t>
  </si>
  <si>
    <t>Interest coverage</t>
  </si>
  <si>
    <t>Interest expense</t>
  </si>
  <si>
    <t>Other income "net"</t>
  </si>
  <si>
    <t>FINANCIAL STATEMENT ANALYSIS (APPLE)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</si>
</sst>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4"/>
      <name val="Aptos Narrow"/>
      <scheme val="minor"/>
    </font>
    <font>
      <b/>
      <sz val="12"/>
      <color theme="0"/>
      <name val="Aptos Narrow"/>
      <scheme val="minor"/>
    </font>
    <font>
      <b/>
      <sz val="20"/>
      <color theme="3"/>
      <name val="Aptos Narrow (Body)"/>
    </font>
    <font>
      <b/>
      <sz val="20"/>
      <color theme="3" tint="9.9978637043366805E-2"/>
      <name val="Aptos Narrow (Body)"/>
    </font>
    <font>
      <sz val="16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 (Body)"/>
    </font>
    <font>
      <sz val="12"/>
      <color theme="0"/>
      <name val="Aptos Narrow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scheme val="minor"/>
    </font>
    <font>
      <b/>
      <sz val="20"/>
      <color theme="3"/>
      <name val="Aptos Narrow"/>
      <scheme val="minor"/>
    </font>
    <font>
      <b/>
      <sz val="22"/>
      <color theme="3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4" borderId="0" xfId="0" applyFont="1" applyFill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38" fontId="0" fillId="0" borderId="0" xfId="0" applyNumberFormat="1"/>
    <xf numFmtId="40" fontId="0" fillId="0" borderId="0" xfId="0" applyNumberFormat="1"/>
    <xf numFmtId="38" fontId="0" fillId="3" borderId="0" xfId="0" applyNumberFormat="1" applyFill="1"/>
    <xf numFmtId="38" fontId="1" fillId="3" borderId="0" xfId="0" applyNumberFormat="1" applyFont="1" applyFill="1"/>
    <xf numFmtId="0" fontId="9" fillId="5" borderId="0" xfId="0" applyFont="1" applyFill="1"/>
    <xf numFmtId="0" fontId="10" fillId="5" borderId="1" xfId="0" applyFont="1" applyFill="1" applyBorder="1" applyAlignment="1">
      <alignment vertical="center"/>
    </xf>
    <xf numFmtId="0" fontId="11" fillId="5" borderId="0" xfId="0" applyFont="1" applyFill="1"/>
    <xf numFmtId="9" fontId="0" fillId="0" borderId="0" xfId="0" applyNumberFormat="1"/>
    <xf numFmtId="0" fontId="12" fillId="0" borderId="0" xfId="0" applyFont="1"/>
    <xf numFmtId="9" fontId="0" fillId="0" borderId="0" xfId="0" applyNumberFormat="1" applyAlignment="1">
      <alignment horizontal="center"/>
    </xf>
    <xf numFmtId="0" fontId="13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341D-1B51-E747-8DEF-E583631785F6}">
  <dimension ref="A1:E202"/>
  <sheetViews>
    <sheetView tabSelected="1" zoomScale="140" workbookViewId="0">
      <selection activeCell="F4" sqref="F4"/>
    </sheetView>
  </sheetViews>
  <sheetFormatPr baseColWidth="10" defaultRowHeight="16" outlineLevelRow="3" x14ac:dyDescent="0.2"/>
  <cols>
    <col min="1" max="1" width="40.1640625" customWidth="1"/>
    <col min="2" max="2" width="15.6640625" customWidth="1"/>
    <col min="3" max="3" width="11.83203125" bestFit="1" customWidth="1"/>
  </cols>
  <sheetData>
    <row r="1" spans="1:4" ht="35" customHeight="1" outlineLevel="1" x14ac:dyDescent="0.2">
      <c r="A1" s="4" t="s">
        <v>74</v>
      </c>
    </row>
    <row r="2" spans="1:4" outlineLevel="1" x14ac:dyDescent="0.2">
      <c r="A2" s="1" t="s">
        <v>0</v>
      </c>
    </row>
    <row r="3" spans="1:4" outlineLevel="1" x14ac:dyDescent="0.2">
      <c r="A3" s="2"/>
      <c r="B3" s="9">
        <v>2025</v>
      </c>
      <c r="C3" s="9">
        <v>2024</v>
      </c>
      <c r="D3" s="9">
        <v>2023</v>
      </c>
    </row>
    <row r="4" spans="1:4" ht="24" customHeight="1" outlineLevel="1" thickBot="1" x14ac:dyDescent="0.25">
      <c r="A4" s="5" t="s">
        <v>1</v>
      </c>
      <c r="B4" s="6"/>
      <c r="C4" s="6"/>
      <c r="D4" s="6"/>
    </row>
    <row r="5" spans="1:4" outlineLevel="1" x14ac:dyDescent="0.2">
      <c r="A5" t="s">
        <v>2</v>
      </c>
      <c r="B5" s="16">
        <v>416161</v>
      </c>
      <c r="C5" s="16">
        <v>391035</v>
      </c>
      <c r="D5" s="16">
        <v>383285</v>
      </c>
    </row>
    <row r="6" spans="1:4" outlineLevel="1" x14ac:dyDescent="0.2">
      <c r="A6" t="s">
        <v>14</v>
      </c>
      <c r="B6" s="16">
        <v>-220960</v>
      </c>
      <c r="C6" s="16">
        <v>-210352</v>
      </c>
      <c r="D6" s="16">
        <v>-214137</v>
      </c>
    </row>
    <row r="7" spans="1:4" outlineLevel="1" x14ac:dyDescent="0.2">
      <c r="A7" s="8" t="s">
        <v>3</v>
      </c>
      <c r="B7" s="18">
        <f>B5+B6</f>
        <v>195201</v>
      </c>
      <c r="C7" s="18">
        <f>C5+C6</f>
        <v>180683</v>
      </c>
      <c r="D7" s="18">
        <f>D5+D6</f>
        <v>169148</v>
      </c>
    </row>
    <row r="8" spans="1:4" outlineLevel="1" x14ac:dyDescent="0.2">
      <c r="A8" t="s">
        <v>4</v>
      </c>
      <c r="B8" s="16">
        <v>-34550</v>
      </c>
      <c r="C8" s="16">
        <v>-31370</v>
      </c>
      <c r="D8" s="16">
        <v>-29915</v>
      </c>
    </row>
    <row r="9" spans="1:4" outlineLevel="1" x14ac:dyDescent="0.2">
      <c r="A9" t="s">
        <v>5</v>
      </c>
      <c r="B9" s="16">
        <v>-27601</v>
      </c>
      <c r="C9" s="16">
        <v>-26097</v>
      </c>
      <c r="D9" s="16">
        <v>-24932</v>
      </c>
    </row>
    <row r="10" spans="1:4" outlineLevel="1" x14ac:dyDescent="0.2">
      <c r="A10" s="8" t="s">
        <v>6</v>
      </c>
      <c r="B10" s="18">
        <f>B8+B9</f>
        <v>-62151</v>
      </c>
      <c r="C10" s="18">
        <f t="shared" ref="C10:D10" si="0">C8+C9</f>
        <v>-57467</v>
      </c>
      <c r="D10" s="18">
        <f t="shared" si="0"/>
        <v>-54847</v>
      </c>
    </row>
    <row r="11" spans="1:4" outlineLevel="1" x14ac:dyDescent="0.2">
      <c r="A11" t="s">
        <v>7</v>
      </c>
      <c r="B11" s="16">
        <v>133050</v>
      </c>
      <c r="C11" s="16">
        <v>123216</v>
      </c>
      <c r="D11" s="16">
        <v>114301</v>
      </c>
    </row>
    <row r="12" spans="1:4" outlineLevel="1" x14ac:dyDescent="0.2">
      <c r="A12" t="s">
        <v>8</v>
      </c>
      <c r="B12" s="16">
        <v>11698</v>
      </c>
      <c r="C12" s="16">
        <v>11445</v>
      </c>
      <c r="D12" s="16">
        <v>11519</v>
      </c>
    </row>
    <row r="13" spans="1:4" outlineLevel="1" x14ac:dyDescent="0.2">
      <c r="A13" t="s">
        <v>9</v>
      </c>
      <c r="B13" s="16">
        <f t="shared" ref="B13:D13" si="1">B11+B12</f>
        <v>144748</v>
      </c>
      <c r="C13" s="16">
        <f t="shared" si="1"/>
        <v>134661</v>
      </c>
      <c r="D13" s="16">
        <f t="shared" si="1"/>
        <v>125820</v>
      </c>
    </row>
    <row r="14" spans="1:4" outlineLevel="1" x14ac:dyDescent="0.2">
      <c r="A14" t="s">
        <v>72</v>
      </c>
      <c r="B14" s="16">
        <v>4143</v>
      </c>
      <c r="C14" s="16">
        <v>4022</v>
      </c>
      <c r="D14" s="16">
        <v>3933</v>
      </c>
    </row>
    <row r="15" spans="1:4" outlineLevel="1" x14ac:dyDescent="0.2">
      <c r="A15" t="s">
        <v>73</v>
      </c>
      <c r="B15" s="16">
        <f>-321+B14</f>
        <v>3822</v>
      </c>
      <c r="C15" s="16">
        <f>269+C14</f>
        <v>4291</v>
      </c>
      <c r="D15" s="16">
        <f>-565+D14</f>
        <v>3368</v>
      </c>
    </row>
    <row r="16" spans="1:4" outlineLevel="1" x14ac:dyDescent="0.2">
      <c r="A16" t="s">
        <v>11</v>
      </c>
      <c r="B16" s="16">
        <v>132729</v>
      </c>
      <c r="C16" s="16">
        <v>123485</v>
      </c>
      <c r="D16" s="16">
        <v>113736</v>
      </c>
    </row>
    <row r="17" spans="1:4" outlineLevel="1" x14ac:dyDescent="0.2">
      <c r="A17" t="s">
        <v>12</v>
      </c>
      <c r="B17" s="16">
        <v>-20719</v>
      </c>
      <c r="C17" s="16">
        <v>-29749</v>
      </c>
      <c r="D17" s="16">
        <v>-16741</v>
      </c>
    </row>
    <row r="18" spans="1:4" outlineLevel="1" x14ac:dyDescent="0.2">
      <c r="A18" s="8" t="s">
        <v>13</v>
      </c>
      <c r="B18" s="19">
        <f t="shared" ref="B18:D18" si="2">B16+B17</f>
        <v>112010</v>
      </c>
      <c r="C18" s="19">
        <f t="shared" si="2"/>
        <v>93736</v>
      </c>
      <c r="D18" s="19">
        <f t="shared" si="2"/>
        <v>96995</v>
      </c>
    </row>
    <row r="19" spans="1:4" outlineLevel="1" x14ac:dyDescent="0.2"/>
    <row r="20" spans="1:4" ht="27" outlineLevel="2" collapsed="1" x14ac:dyDescent="0.2">
      <c r="A20" s="11" t="s">
        <v>15</v>
      </c>
      <c r="B20" s="3"/>
      <c r="C20" s="3"/>
    </row>
    <row r="21" spans="1:4" ht="22" outlineLevel="2" x14ac:dyDescent="0.3">
      <c r="A21" s="12" t="s">
        <v>16</v>
      </c>
      <c r="B21" s="12">
        <v>2025</v>
      </c>
      <c r="C21" s="12">
        <v>2024</v>
      </c>
      <c r="D21" s="12">
        <v>2023</v>
      </c>
    </row>
    <row r="22" spans="1:4" outlineLevel="2" x14ac:dyDescent="0.2"/>
    <row r="23" spans="1:4" ht="19" outlineLevel="2" x14ac:dyDescent="0.25">
      <c r="A23" s="14" t="s">
        <v>17</v>
      </c>
    </row>
    <row r="24" spans="1:4" outlineLevel="2" x14ac:dyDescent="0.2">
      <c r="A24" t="s">
        <v>18</v>
      </c>
      <c r="B24">
        <v>35934</v>
      </c>
      <c r="C24">
        <v>29943</v>
      </c>
      <c r="D24">
        <v>29965</v>
      </c>
    </row>
    <row r="25" spans="1:4" outlineLevel="2" x14ac:dyDescent="0.2">
      <c r="A25" t="s">
        <v>19</v>
      </c>
      <c r="B25">
        <v>18763</v>
      </c>
      <c r="C25">
        <v>35228</v>
      </c>
      <c r="D25">
        <v>31590</v>
      </c>
    </row>
    <row r="26" spans="1:4" outlineLevel="2" x14ac:dyDescent="0.2">
      <c r="A26" t="s">
        <v>20</v>
      </c>
      <c r="B26">
        <v>39777</v>
      </c>
      <c r="C26">
        <v>33410</v>
      </c>
      <c r="D26">
        <v>29508</v>
      </c>
    </row>
    <row r="27" spans="1:4" outlineLevel="2" x14ac:dyDescent="0.2">
      <c r="A27" t="s">
        <v>21</v>
      </c>
      <c r="B27">
        <v>33180</v>
      </c>
      <c r="C27">
        <v>32833</v>
      </c>
      <c r="D27">
        <v>31477</v>
      </c>
    </row>
    <row r="28" spans="1:4" outlineLevel="2" x14ac:dyDescent="0.2">
      <c r="A28" t="s">
        <v>22</v>
      </c>
      <c r="B28">
        <v>5718</v>
      </c>
      <c r="C28">
        <v>7286</v>
      </c>
      <c r="D28">
        <v>6331</v>
      </c>
    </row>
    <row r="29" spans="1:4" outlineLevel="2" x14ac:dyDescent="0.2">
      <c r="A29" s="13" t="str">
        <f>PROPER("other  current assets")</f>
        <v>Other  Current Assets</v>
      </c>
      <c r="B29">
        <v>14585</v>
      </c>
      <c r="C29">
        <v>14287</v>
      </c>
      <c r="D29">
        <v>14695</v>
      </c>
    </row>
    <row r="30" spans="1:4" outlineLevel="2" x14ac:dyDescent="0.2">
      <c r="A30" s="7" t="s">
        <v>23</v>
      </c>
      <c r="B30" s="7">
        <f>SUM(B24:B29)</f>
        <v>147957</v>
      </c>
      <c r="C30" s="7">
        <f>SUM(C24:C29)</f>
        <v>152987</v>
      </c>
      <c r="D30" s="7">
        <f>SUM(D24:D29)</f>
        <v>143566</v>
      </c>
    </row>
    <row r="31" spans="1:4" outlineLevel="2" x14ac:dyDescent="0.2"/>
    <row r="32" spans="1:4" outlineLevel="2" x14ac:dyDescent="0.2"/>
    <row r="33" spans="1:4" ht="19" outlineLevel="2" x14ac:dyDescent="0.25">
      <c r="A33" s="14" t="s">
        <v>24</v>
      </c>
    </row>
    <row r="34" spans="1:4" outlineLevel="2" x14ac:dyDescent="0.2">
      <c r="A34" t="s">
        <v>19</v>
      </c>
      <c r="B34">
        <v>77723</v>
      </c>
      <c r="C34">
        <v>91479</v>
      </c>
      <c r="D34">
        <v>100544</v>
      </c>
    </row>
    <row r="35" spans="1:4" outlineLevel="2" x14ac:dyDescent="0.2">
      <c r="A35" t="s">
        <v>25</v>
      </c>
      <c r="B35">
        <v>49834</v>
      </c>
      <c r="C35">
        <v>45680</v>
      </c>
      <c r="D35">
        <v>43715</v>
      </c>
    </row>
    <row r="36" spans="1:4" outlineLevel="2" x14ac:dyDescent="0.2">
      <c r="A36" t="s">
        <v>26</v>
      </c>
      <c r="B36">
        <v>83727</v>
      </c>
      <c r="C36">
        <v>74834</v>
      </c>
      <c r="D36">
        <v>64758</v>
      </c>
    </row>
    <row r="37" spans="1:4" outlineLevel="2" x14ac:dyDescent="0.2">
      <c r="A37" t="s">
        <v>27</v>
      </c>
      <c r="B37">
        <v>211284</v>
      </c>
      <c r="C37">
        <v>211993</v>
      </c>
      <c r="D37">
        <v>209017</v>
      </c>
    </row>
    <row r="38" spans="1:4" outlineLevel="2" x14ac:dyDescent="0.2">
      <c r="A38" s="7" t="s">
        <v>28</v>
      </c>
      <c r="B38" s="7">
        <f>B30+B37</f>
        <v>359241</v>
      </c>
      <c r="C38" s="7">
        <f>C30+C37</f>
        <v>364980</v>
      </c>
      <c r="D38" s="7">
        <f>D30+D37</f>
        <v>352583</v>
      </c>
    </row>
    <row r="39" spans="1:4" outlineLevel="2" x14ac:dyDescent="0.2"/>
    <row r="40" spans="1:4" ht="19" outlineLevel="2" x14ac:dyDescent="0.25">
      <c r="A40" s="14" t="str">
        <f>UPPER("Liabilities and shareholders equity")</f>
        <v>LIABILITIES AND SHAREHOLDERS EQUITY</v>
      </c>
    </row>
    <row r="41" spans="1:4" outlineLevel="2" x14ac:dyDescent="0.2">
      <c r="A41" t="str">
        <f t="shared" ref="A41" si="3">PROPER("current liabilities")</f>
        <v>Current Liabilities</v>
      </c>
    </row>
    <row r="42" spans="1:4" outlineLevel="2" x14ac:dyDescent="0.2">
      <c r="A42" t="s">
        <v>29</v>
      </c>
      <c r="B42">
        <v>69860</v>
      </c>
      <c r="C42">
        <v>68960</v>
      </c>
      <c r="D42">
        <v>62611</v>
      </c>
    </row>
    <row r="43" spans="1:4" outlineLevel="2" x14ac:dyDescent="0.2">
      <c r="A43" t="s">
        <v>30</v>
      </c>
      <c r="B43">
        <v>66387</v>
      </c>
      <c r="C43">
        <v>78304</v>
      </c>
      <c r="D43">
        <v>58829</v>
      </c>
    </row>
    <row r="44" spans="1:4" outlineLevel="2" x14ac:dyDescent="0.2">
      <c r="A44" t="s">
        <v>31</v>
      </c>
      <c r="B44">
        <v>9055</v>
      </c>
      <c r="C44">
        <v>8249</v>
      </c>
      <c r="D44">
        <v>8061</v>
      </c>
    </row>
    <row r="45" spans="1:4" outlineLevel="2" x14ac:dyDescent="0.2">
      <c r="A45" t="s">
        <v>32</v>
      </c>
      <c r="B45">
        <v>7979</v>
      </c>
      <c r="C45">
        <v>9967</v>
      </c>
      <c r="D45">
        <v>5985</v>
      </c>
    </row>
    <row r="46" spans="1:4" outlineLevel="2" x14ac:dyDescent="0.2">
      <c r="A46" t="s">
        <v>33</v>
      </c>
      <c r="B46">
        <v>12350</v>
      </c>
      <c r="C46">
        <v>10912</v>
      </c>
      <c r="D46">
        <v>9822</v>
      </c>
    </row>
    <row r="47" spans="1:4" outlineLevel="2" x14ac:dyDescent="0.2">
      <c r="A47" s="7" t="s">
        <v>34</v>
      </c>
      <c r="B47" s="7">
        <f t="shared" ref="B47:D47" si="4">SUM(B42:B46)</f>
        <v>165631</v>
      </c>
      <c r="C47" s="7">
        <f t="shared" si="4"/>
        <v>176392</v>
      </c>
      <c r="D47" s="7">
        <f t="shared" si="4"/>
        <v>145308</v>
      </c>
    </row>
    <row r="48" spans="1:4" outlineLevel="2" x14ac:dyDescent="0.2"/>
    <row r="49" spans="1:5" ht="19" outlineLevel="2" x14ac:dyDescent="0.25">
      <c r="A49" s="15" t="s">
        <v>35</v>
      </c>
    </row>
    <row r="50" spans="1:5" outlineLevel="2" x14ac:dyDescent="0.2">
      <c r="A50" t="s">
        <v>33</v>
      </c>
      <c r="B50">
        <v>78328</v>
      </c>
      <c r="C50">
        <v>85750</v>
      </c>
      <c r="D50">
        <v>95281</v>
      </c>
    </row>
    <row r="51" spans="1:5" outlineLevel="2" x14ac:dyDescent="0.2">
      <c r="A51" t="s">
        <v>36</v>
      </c>
      <c r="B51">
        <v>41549</v>
      </c>
      <c r="C51">
        <v>45888</v>
      </c>
      <c r="D51">
        <v>49848</v>
      </c>
    </row>
    <row r="52" spans="1:5" outlineLevel="2" x14ac:dyDescent="0.2">
      <c r="A52" t="s">
        <v>37</v>
      </c>
      <c r="B52">
        <f>B50+B51</f>
        <v>119877</v>
      </c>
      <c r="C52">
        <f t="shared" ref="C52:D52" si="5">C50+C51</f>
        <v>131638</v>
      </c>
      <c r="D52">
        <f t="shared" si="5"/>
        <v>145129</v>
      </c>
    </row>
    <row r="53" spans="1:5" outlineLevel="2" x14ac:dyDescent="0.2">
      <c r="A53" s="7" t="s">
        <v>38</v>
      </c>
      <c r="B53" s="7">
        <f>B47+B52</f>
        <v>285508</v>
      </c>
      <c r="C53" s="7">
        <f t="shared" ref="C53:D53" si="6">C47+C52</f>
        <v>308030</v>
      </c>
      <c r="D53" s="7">
        <f t="shared" si="6"/>
        <v>290437</v>
      </c>
    </row>
    <row r="54" spans="1:5" outlineLevel="2" x14ac:dyDescent="0.2"/>
    <row r="55" spans="1:5" ht="19" outlineLevel="2" x14ac:dyDescent="0.25">
      <c r="A55" s="15" t="s">
        <v>39</v>
      </c>
    </row>
    <row r="56" spans="1:5" outlineLevel="2" x14ac:dyDescent="0.2">
      <c r="A56" t="s">
        <v>40</v>
      </c>
      <c r="B56">
        <v>93568</v>
      </c>
      <c r="C56">
        <v>83276</v>
      </c>
      <c r="D56">
        <v>73812</v>
      </c>
    </row>
    <row r="57" spans="1:5" outlineLevel="2" x14ac:dyDescent="0.2">
      <c r="A57" t="s">
        <v>41</v>
      </c>
      <c r="B57" s="16">
        <v>-14264</v>
      </c>
      <c r="C57" s="16">
        <v>-19154</v>
      </c>
      <c r="D57" s="16">
        <v>-214</v>
      </c>
    </row>
    <row r="58" spans="1:5" outlineLevel="2" x14ac:dyDescent="0.2">
      <c r="A58" t="s">
        <v>42</v>
      </c>
      <c r="B58" s="17">
        <v>-5571</v>
      </c>
      <c r="C58" s="16">
        <v>-7172</v>
      </c>
      <c r="D58" s="16">
        <v>-11452</v>
      </c>
    </row>
    <row r="59" spans="1:5" outlineLevel="2" x14ac:dyDescent="0.2">
      <c r="A59" t="s">
        <v>43</v>
      </c>
      <c r="B59">
        <f t="shared" ref="B59:D59" si="7">SUM(B56:B58)</f>
        <v>73733</v>
      </c>
      <c r="C59">
        <f t="shared" si="7"/>
        <v>56950</v>
      </c>
      <c r="D59">
        <f t="shared" si="7"/>
        <v>62146</v>
      </c>
    </row>
    <row r="60" spans="1:5" outlineLevel="2" x14ac:dyDescent="0.2">
      <c r="A60" s="7" t="s">
        <v>44</v>
      </c>
      <c r="B60" s="7">
        <f>B53+B59</f>
        <v>359241</v>
      </c>
      <c r="C60" s="7">
        <f t="shared" ref="C60:D60" si="8">C53+C59</f>
        <v>364980</v>
      </c>
      <c r="D60" s="7">
        <f t="shared" si="8"/>
        <v>352583</v>
      </c>
    </row>
    <row r="62" spans="1:5" ht="27" outlineLevel="1" x14ac:dyDescent="0.35">
      <c r="A62" s="10" t="s">
        <v>45</v>
      </c>
    </row>
    <row r="63" spans="1:5" ht="23" outlineLevel="1" thickBot="1" x14ac:dyDescent="0.35">
      <c r="A63" s="21" t="s">
        <v>1</v>
      </c>
      <c r="B63" s="22">
        <v>2025</v>
      </c>
      <c r="C63" s="22">
        <v>2024</v>
      </c>
      <c r="D63" s="22">
        <v>2023</v>
      </c>
      <c r="E63" s="20"/>
    </row>
    <row r="64" spans="1:5" outlineLevel="1" x14ac:dyDescent="0.2">
      <c r="A64" t="s">
        <v>2</v>
      </c>
      <c r="B64" s="23">
        <f t="shared" ref="B64:D77" si="9">B5/B$5</f>
        <v>1</v>
      </c>
      <c r="C64" s="23">
        <f t="shared" si="9"/>
        <v>1</v>
      </c>
      <c r="D64" s="23">
        <f t="shared" si="9"/>
        <v>1</v>
      </c>
    </row>
    <row r="65" spans="1:4" outlineLevel="1" x14ac:dyDescent="0.2">
      <c r="A65" t="s">
        <v>14</v>
      </c>
      <c r="B65" s="23">
        <f t="shared" si="9"/>
        <v>-0.53094835892839554</v>
      </c>
      <c r="C65" s="23">
        <f t="shared" si="9"/>
        <v>-0.53793650184766073</v>
      </c>
      <c r="D65" s="23">
        <f t="shared" si="9"/>
        <v>-0.55868870422792438</v>
      </c>
    </row>
    <row r="66" spans="1:4" outlineLevel="1" x14ac:dyDescent="0.2">
      <c r="A66" s="8" t="s">
        <v>3</v>
      </c>
      <c r="B66" s="23">
        <f t="shared" si="9"/>
        <v>0.46905164107160452</v>
      </c>
      <c r="C66" s="23">
        <f t="shared" si="9"/>
        <v>0.46206349815233932</v>
      </c>
      <c r="D66" s="23">
        <f t="shared" si="9"/>
        <v>0.44131129577207562</v>
      </c>
    </row>
    <row r="67" spans="1:4" outlineLevel="1" x14ac:dyDescent="0.2">
      <c r="A67" t="s">
        <v>4</v>
      </c>
      <c r="B67" s="23">
        <f t="shared" si="9"/>
        <v>-8.3020753987038676E-2</v>
      </c>
      <c r="C67" s="23">
        <f t="shared" si="9"/>
        <v>-8.0222997941360744E-2</v>
      </c>
      <c r="D67" s="23">
        <f t="shared" si="9"/>
        <v>-7.8048971392045086E-2</v>
      </c>
    </row>
    <row r="68" spans="1:4" outlineLevel="1" x14ac:dyDescent="0.2">
      <c r="A68" t="s">
        <v>5</v>
      </c>
      <c r="B68" s="23">
        <f t="shared" si="9"/>
        <v>-6.6322889458647019E-2</v>
      </c>
      <c r="C68" s="23">
        <f t="shared" si="9"/>
        <v>-6.6738271510222866E-2</v>
      </c>
      <c r="D68" s="23">
        <f t="shared" si="9"/>
        <v>-6.5048201729783317E-2</v>
      </c>
    </row>
    <row r="69" spans="1:4" outlineLevel="1" x14ac:dyDescent="0.2">
      <c r="A69" s="8" t="s">
        <v>6</v>
      </c>
      <c r="B69" s="23">
        <f t="shared" si="9"/>
        <v>-0.14934364344568568</v>
      </c>
      <c r="C69" s="23">
        <f t="shared" si="9"/>
        <v>-0.14696126945158361</v>
      </c>
      <c r="D69" s="23">
        <f t="shared" si="9"/>
        <v>-0.1430971731218284</v>
      </c>
    </row>
    <row r="70" spans="1:4" outlineLevel="1" x14ac:dyDescent="0.2">
      <c r="A70" t="s">
        <v>7</v>
      </c>
      <c r="B70" s="23">
        <f t="shared" si="9"/>
        <v>0.31970799762591884</v>
      </c>
      <c r="C70" s="23">
        <f t="shared" si="9"/>
        <v>0.31510222870075566</v>
      </c>
      <c r="D70" s="23">
        <f t="shared" si="9"/>
        <v>0.29821412265024722</v>
      </c>
    </row>
    <row r="71" spans="1:4" outlineLevel="1" x14ac:dyDescent="0.2">
      <c r="A71" t="s">
        <v>8</v>
      </c>
      <c r="B71" s="23">
        <f t="shared" si="9"/>
        <v>2.8109313462818475E-2</v>
      </c>
      <c r="C71" s="23">
        <f t="shared" si="9"/>
        <v>2.9268479803598143E-2</v>
      </c>
      <c r="D71" s="23">
        <f t="shared" si="9"/>
        <v>3.0053354553400212E-2</v>
      </c>
    </row>
    <row r="72" spans="1:4" outlineLevel="1" x14ac:dyDescent="0.2">
      <c r="A72" t="s">
        <v>9</v>
      </c>
      <c r="B72" s="23">
        <f t="shared" si="9"/>
        <v>0.34781731108873731</v>
      </c>
      <c r="C72" s="23">
        <f t="shared" si="9"/>
        <v>0.34437070850435381</v>
      </c>
      <c r="D72" s="23">
        <f t="shared" si="9"/>
        <v>0.32826747720364741</v>
      </c>
    </row>
    <row r="73" spans="1:4" outlineLevel="1" x14ac:dyDescent="0.2">
      <c r="B73" s="23">
        <f t="shared" si="9"/>
        <v>9.9552817299074156E-3</v>
      </c>
      <c r="C73" s="23">
        <f t="shared" si="9"/>
        <v>1.0285524313680362E-2</v>
      </c>
      <c r="D73" s="23">
        <f t="shared" si="9"/>
        <v>1.0261293815307148E-2</v>
      </c>
    </row>
    <row r="74" spans="1:4" outlineLevel="1" x14ac:dyDescent="0.2">
      <c r="A74" t="s">
        <v>10</v>
      </c>
      <c r="B74" s="23">
        <f t="shared" si="9"/>
        <v>9.1839456364243652E-3</v>
      </c>
      <c r="C74" s="23">
        <f t="shared" si="9"/>
        <v>1.0973442274988173E-2</v>
      </c>
      <c r="D74" s="23">
        <f t="shared" si="9"/>
        <v>8.7871949071839494E-3</v>
      </c>
    </row>
    <row r="75" spans="1:4" outlineLevel="1" x14ac:dyDescent="0.2">
      <c r="A75" t="s">
        <v>11</v>
      </c>
      <c r="B75" s="23">
        <f t="shared" si="9"/>
        <v>0.31893666153243577</v>
      </c>
      <c r="C75" s="23">
        <f t="shared" si="9"/>
        <v>0.31579014666206351</v>
      </c>
      <c r="D75" s="23">
        <f t="shared" si="9"/>
        <v>0.29674002374212399</v>
      </c>
    </row>
    <row r="76" spans="1:4" outlineLevel="1" x14ac:dyDescent="0.2">
      <c r="A76" t="s">
        <v>12</v>
      </c>
      <c r="B76" s="23">
        <f t="shared" si="9"/>
        <v>-4.9786020314253381E-2</v>
      </c>
      <c r="C76" s="23">
        <f t="shared" si="9"/>
        <v>-7.6077588962624829E-2</v>
      </c>
      <c r="D76" s="23">
        <f t="shared" si="9"/>
        <v>-4.3677681098921166E-2</v>
      </c>
    </row>
    <row r="77" spans="1:4" outlineLevel="1" x14ac:dyDescent="0.2">
      <c r="A77" s="8" t="s">
        <v>13</v>
      </c>
      <c r="B77" s="23">
        <f t="shared" si="9"/>
        <v>0.26915064121818238</v>
      </c>
      <c r="C77" s="23">
        <f t="shared" si="9"/>
        <v>0.23971255769943867</v>
      </c>
      <c r="D77" s="23">
        <f t="shared" si="9"/>
        <v>0.25306234264320282</v>
      </c>
    </row>
    <row r="79" spans="1:4" ht="27" outlineLevel="1" x14ac:dyDescent="0.2">
      <c r="A79" s="11" t="s">
        <v>15</v>
      </c>
      <c r="B79" s="3"/>
      <c r="C79" s="3"/>
    </row>
    <row r="80" spans="1:4" ht="22" outlineLevel="1" x14ac:dyDescent="0.3">
      <c r="A80" s="12" t="s">
        <v>16</v>
      </c>
      <c r="B80" s="12">
        <v>2025</v>
      </c>
      <c r="C80" s="12">
        <v>2024</v>
      </c>
      <c r="D80" s="12">
        <v>2023</v>
      </c>
    </row>
    <row r="81" spans="1:4" ht="19" outlineLevel="1" x14ac:dyDescent="0.25">
      <c r="A81" s="14" t="s">
        <v>17</v>
      </c>
    </row>
    <row r="82" spans="1:4" outlineLevel="1" x14ac:dyDescent="0.2">
      <c r="A82" t="s">
        <v>18</v>
      </c>
      <c r="B82" s="23">
        <f t="shared" ref="B82:D87" si="10">B24/B$38</f>
        <v>0.10002755810166435</v>
      </c>
      <c r="C82" s="23">
        <f t="shared" si="10"/>
        <v>8.2040111786947229E-2</v>
      </c>
      <c r="D82" s="23">
        <f t="shared" si="10"/>
        <v>8.4987081056091762E-2</v>
      </c>
    </row>
    <row r="83" spans="1:4" outlineLevel="1" x14ac:dyDescent="0.2">
      <c r="A83" t="s">
        <v>19</v>
      </c>
      <c r="B83" s="23">
        <f t="shared" si="10"/>
        <v>5.2229561770510607E-2</v>
      </c>
      <c r="C83" s="23">
        <f t="shared" si="10"/>
        <v>9.6520357279850949E-2</v>
      </c>
      <c r="D83" s="23">
        <f t="shared" si="10"/>
        <v>8.9595924931150969E-2</v>
      </c>
    </row>
    <row r="84" spans="1:4" outlineLevel="1" x14ac:dyDescent="0.2">
      <c r="A84" t="s">
        <v>20</v>
      </c>
      <c r="B84" s="23">
        <f t="shared" si="10"/>
        <v>0.11072511211136814</v>
      </c>
      <c r="C84" s="23">
        <f t="shared" si="10"/>
        <v>9.1539262425338372E-2</v>
      </c>
      <c r="D84" s="23">
        <f t="shared" si="10"/>
        <v>8.3690932347844332E-2</v>
      </c>
    </row>
    <row r="85" spans="1:4" outlineLevel="1" x14ac:dyDescent="0.2">
      <c r="A85" t="s">
        <v>21</v>
      </c>
      <c r="B85" s="23">
        <f t="shared" si="10"/>
        <v>9.2361395275038199E-2</v>
      </c>
      <c r="C85" s="23">
        <f t="shared" si="10"/>
        <v>8.9958353882404515E-2</v>
      </c>
      <c r="D85" s="23">
        <f t="shared" si="10"/>
        <v>8.927543301860838E-2</v>
      </c>
    </row>
    <row r="86" spans="1:4" outlineLevel="1" x14ac:dyDescent="0.2">
      <c r="A86" t="s">
        <v>22</v>
      </c>
      <c r="B86" s="23">
        <f t="shared" si="10"/>
        <v>1.5916891446132262E-2</v>
      </c>
      <c r="C86" s="23">
        <f t="shared" si="10"/>
        <v>1.996273768425667E-2</v>
      </c>
      <c r="D86" s="23">
        <f t="shared" si="10"/>
        <v>1.7956055737230667E-2</v>
      </c>
    </row>
    <row r="87" spans="1:4" outlineLevel="1" x14ac:dyDescent="0.2">
      <c r="A87" s="13" t="str">
        <f>PROPER("other  current assets")</f>
        <v>Other  Current Assets</v>
      </c>
      <c r="B87" s="23">
        <f t="shared" si="10"/>
        <v>4.0599486138831589E-2</v>
      </c>
      <c r="C87" s="23">
        <f t="shared" si="10"/>
        <v>3.9144610663598006E-2</v>
      </c>
      <c r="D87" s="23">
        <f t="shared" si="10"/>
        <v>4.1678129688612328E-2</v>
      </c>
    </row>
    <row r="88" spans="1:4" outlineLevel="1" x14ac:dyDescent="0.2">
      <c r="A88" s="7" t="s">
        <v>23</v>
      </c>
      <c r="B88" s="23">
        <f>B30/B38</f>
        <v>0.41186000484354512</v>
      </c>
      <c r="C88" s="23">
        <f>C30/C38</f>
        <v>0.41916543372239573</v>
      </c>
      <c r="D88" s="23">
        <f>D30/D38</f>
        <v>0.40718355677953844</v>
      </c>
    </row>
    <row r="89" spans="1:4" outlineLevel="1" x14ac:dyDescent="0.2"/>
    <row r="90" spans="1:4" outlineLevel="1" x14ac:dyDescent="0.2">
      <c r="B90" s="23" t="str">
        <f t="shared" ref="B90:D96" si="11">IF(B32/B$38=0,"",B32/B$38)</f>
        <v/>
      </c>
      <c r="C90" s="23" t="str">
        <f t="shared" si="11"/>
        <v/>
      </c>
      <c r="D90" s="23" t="str">
        <f t="shared" si="11"/>
        <v/>
      </c>
    </row>
    <row r="91" spans="1:4" ht="19" outlineLevel="1" x14ac:dyDescent="0.25">
      <c r="A91" s="14" t="s">
        <v>24</v>
      </c>
      <c r="B91" s="23" t="str">
        <f t="shared" si="11"/>
        <v/>
      </c>
      <c r="C91" s="23" t="str">
        <f t="shared" si="11"/>
        <v/>
      </c>
      <c r="D91" s="23" t="str">
        <f t="shared" si="11"/>
        <v/>
      </c>
    </row>
    <row r="92" spans="1:4" outlineLevel="1" x14ac:dyDescent="0.2">
      <c r="A92" t="s">
        <v>19</v>
      </c>
      <c r="B92" s="23">
        <f t="shared" si="11"/>
        <v>0.21635336723814932</v>
      </c>
      <c r="C92" s="23">
        <f t="shared" si="11"/>
        <v>0.25064113102087787</v>
      </c>
      <c r="D92" s="23">
        <f t="shared" si="11"/>
        <v>0.285164060660894</v>
      </c>
    </row>
    <row r="93" spans="1:4" outlineLevel="1" x14ac:dyDescent="0.2">
      <c r="A93" t="s">
        <v>25</v>
      </c>
      <c r="B93" s="23">
        <f t="shared" si="11"/>
        <v>0.13872024629705407</v>
      </c>
      <c r="C93" s="23">
        <f t="shared" si="11"/>
        <v>0.12515754287906186</v>
      </c>
      <c r="D93" s="23">
        <f t="shared" si="11"/>
        <v>0.12398499076813119</v>
      </c>
    </row>
    <row r="94" spans="1:4" outlineLevel="1" x14ac:dyDescent="0.2">
      <c r="A94" t="s">
        <v>26</v>
      </c>
      <c r="B94" s="23">
        <f t="shared" si="11"/>
        <v>0.23306638162125148</v>
      </c>
      <c r="C94" s="23">
        <f t="shared" si="11"/>
        <v>0.20503589237766454</v>
      </c>
      <c r="D94" s="23">
        <f t="shared" si="11"/>
        <v>0.18366739179143635</v>
      </c>
    </row>
    <row r="95" spans="1:4" outlineLevel="1" x14ac:dyDescent="0.2">
      <c r="A95" t="s">
        <v>27</v>
      </c>
      <c r="B95" s="23">
        <f t="shared" si="11"/>
        <v>0.58813999515645488</v>
      </c>
      <c r="C95" s="23">
        <f t="shared" si="11"/>
        <v>0.58083456627760421</v>
      </c>
      <c r="D95" s="23">
        <f t="shared" si="11"/>
        <v>0.59281644322046156</v>
      </c>
    </row>
    <row r="96" spans="1:4" outlineLevel="1" x14ac:dyDescent="0.2">
      <c r="A96" s="7" t="s">
        <v>28</v>
      </c>
      <c r="B96" s="23">
        <f t="shared" si="11"/>
        <v>1</v>
      </c>
      <c r="C96" s="23">
        <f t="shared" si="11"/>
        <v>1</v>
      </c>
      <c r="D96" s="23">
        <f t="shared" si="11"/>
        <v>1</v>
      </c>
    </row>
    <row r="97" spans="1:4" outlineLevel="1" x14ac:dyDescent="0.2"/>
    <row r="98" spans="1:4" ht="19" outlineLevel="1" x14ac:dyDescent="0.25">
      <c r="A98" s="14" t="str">
        <f>UPPER("Liabilities and shareholders equity")</f>
        <v>LIABILITIES AND SHAREHOLDERS EQUITY</v>
      </c>
    </row>
    <row r="99" spans="1:4" outlineLevel="1" x14ac:dyDescent="0.2">
      <c r="A99" t="str">
        <f t="shared" ref="A99" si="12">PROPER("current liabilities")</f>
        <v>Current Liabilities</v>
      </c>
    </row>
    <row r="100" spans="1:4" outlineLevel="1" x14ac:dyDescent="0.2">
      <c r="A100" t="s">
        <v>29</v>
      </c>
      <c r="B100" s="23">
        <f>IF(B42/B$60=0,"",B42/B$60)</f>
        <v>0.19446555376474289</v>
      </c>
      <c r="C100" s="23">
        <f t="shared" ref="C100:D100" si="13">IF(C42/C$60=0,"",C42/C$60)</f>
        <v>0.18894185982793577</v>
      </c>
      <c r="D100" s="23">
        <f t="shared" si="13"/>
        <v>0.17757804545312736</v>
      </c>
    </row>
    <row r="101" spans="1:4" outlineLevel="1" x14ac:dyDescent="0.2">
      <c r="A101" t="s">
        <v>30</v>
      </c>
      <c r="B101" s="23">
        <f t="shared" ref="B101:D118" si="14">IF(B43/B$60=0,"",B43/B$60)</f>
        <v>0.18479794900916099</v>
      </c>
      <c r="C101" s="23">
        <f t="shared" si="14"/>
        <v>0.21454326264452847</v>
      </c>
      <c r="D101" s="23">
        <f t="shared" si="14"/>
        <v>0.16685149312360495</v>
      </c>
    </row>
    <row r="102" spans="1:4" outlineLevel="1" x14ac:dyDescent="0.2">
      <c r="A102" t="s">
        <v>31</v>
      </c>
      <c r="B102" s="23">
        <f t="shared" si="14"/>
        <v>2.5205920259658558E-2</v>
      </c>
      <c r="C102" s="23">
        <f t="shared" si="14"/>
        <v>2.2601238424023236E-2</v>
      </c>
      <c r="D102" s="23">
        <f t="shared" si="14"/>
        <v>2.2862701831909082E-2</v>
      </c>
    </row>
    <row r="103" spans="1:4" outlineLevel="1" x14ac:dyDescent="0.2">
      <c r="A103" t="s">
        <v>32</v>
      </c>
      <c r="B103" s="23">
        <f t="shared" si="14"/>
        <v>2.2210716482806807E-2</v>
      </c>
      <c r="C103" s="23">
        <f t="shared" si="14"/>
        <v>2.7308345662776044E-2</v>
      </c>
      <c r="D103" s="23">
        <f t="shared" si="14"/>
        <v>1.6974726518294982E-2</v>
      </c>
    </row>
    <row r="104" spans="1:4" outlineLevel="1" x14ac:dyDescent="0.2">
      <c r="A104" t="s">
        <v>33</v>
      </c>
      <c r="B104" s="23">
        <f t="shared" si="14"/>
        <v>3.4378035914608855E-2</v>
      </c>
      <c r="C104" s="23">
        <f t="shared" si="14"/>
        <v>2.9897528631705847E-2</v>
      </c>
      <c r="D104" s="23">
        <f t="shared" si="14"/>
        <v>2.7857270486665552E-2</v>
      </c>
    </row>
    <row r="105" spans="1:4" outlineLevel="1" x14ac:dyDescent="0.2">
      <c r="A105" s="7" t="s">
        <v>34</v>
      </c>
      <c r="B105" s="23">
        <f t="shared" si="14"/>
        <v>0.4610581754309781</v>
      </c>
      <c r="C105" s="23">
        <f t="shared" si="14"/>
        <v>0.48329223519096937</v>
      </c>
      <c r="D105" s="23">
        <f t="shared" si="14"/>
        <v>0.41212423741360188</v>
      </c>
    </row>
    <row r="106" spans="1:4" outlineLevel="1" x14ac:dyDescent="0.2">
      <c r="B106" s="23" t="str">
        <f t="shared" si="14"/>
        <v/>
      </c>
      <c r="C106" s="23" t="str">
        <f t="shared" si="14"/>
        <v/>
      </c>
      <c r="D106" s="23" t="str">
        <f t="shared" si="14"/>
        <v/>
      </c>
    </row>
    <row r="107" spans="1:4" ht="19" outlineLevel="1" x14ac:dyDescent="0.25">
      <c r="A107" s="15" t="s">
        <v>35</v>
      </c>
      <c r="B107" s="23" t="str">
        <f t="shared" si="14"/>
        <v/>
      </c>
      <c r="C107" s="23" t="str">
        <f t="shared" si="14"/>
        <v/>
      </c>
      <c r="D107" s="23" t="str">
        <f t="shared" si="14"/>
        <v/>
      </c>
    </row>
    <row r="108" spans="1:4" outlineLevel="1" x14ac:dyDescent="0.2">
      <c r="A108" t="s">
        <v>33</v>
      </c>
      <c r="B108" s="23">
        <f t="shared" si="14"/>
        <v>0.21803747345097024</v>
      </c>
      <c r="C108" s="23">
        <f t="shared" si="14"/>
        <v>0.23494438051400077</v>
      </c>
      <c r="D108" s="23">
        <f t="shared" si="14"/>
        <v>0.27023707892893306</v>
      </c>
    </row>
    <row r="109" spans="1:4" outlineLevel="1" x14ac:dyDescent="0.2">
      <c r="A109" t="s">
        <v>36</v>
      </c>
      <c r="B109" s="23">
        <f t="shared" si="14"/>
        <v>0.11565773394462213</v>
      </c>
      <c r="C109" s="23">
        <f t="shared" si="14"/>
        <v>0.12572743711984219</v>
      </c>
      <c r="D109" s="23">
        <f t="shared" si="14"/>
        <v>0.14137947660550848</v>
      </c>
    </row>
    <row r="110" spans="1:4" outlineLevel="1" x14ac:dyDescent="0.2">
      <c r="A110" t="s">
        <v>37</v>
      </c>
      <c r="B110" s="23">
        <f t="shared" si="14"/>
        <v>0.33369520739559239</v>
      </c>
      <c r="C110" s="23">
        <f t="shared" si="14"/>
        <v>0.36067181763384293</v>
      </c>
      <c r="D110" s="23">
        <f t="shared" si="14"/>
        <v>0.41161655553444154</v>
      </c>
    </row>
    <row r="111" spans="1:4" outlineLevel="1" x14ac:dyDescent="0.2">
      <c r="A111" s="7" t="s">
        <v>38</v>
      </c>
      <c r="B111" s="23">
        <f t="shared" si="14"/>
        <v>0.79475338282657049</v>
      </c>
      <c r="C111" s="23">
        <f t="shared" si="14"/>
        <v>0.84396405282481235</v>
      </c>
      <c r="D111" s="23">
        <f t="shared" si="14"/>
        <v>0.82374079294804348</v>
      </c>
    </row>
    <row r="112" spans="1:4" outlineLevel="1" x14ac:dyDescent="0.2">
      <c r="B112" s="23" t="str">
        <f t="shared" si="14"/>
        <v/>
      </c>
      <c r="C112" s="23" t="str">
        <f t="shared" si="14"/>
        <v/>
      </c>
      <c r="D112" s="23" t="str">
        <f t="shared" si="14"/>
        <v/>
      </c>
    </row>
    <row r="113" spans="1:4" ht="19" outlineLevel="1" x14ac:dyDescent="0.25">
      <c r="A113" s="15" t="s">
        <v>39</v>
      </c>
      <c r="B113" s="23" t="str">
        <f t="shared" si="14"/>
        <v/>
      </c>
      <c r="C113" s="23" t="str">
        <f t="shared" si="14"/>
        <v/>
      </c>
      <c r="D113" s="23" t="str">
        <f t="shared" si="14"/>
        <v/>
      </c>
    </row>
    <row r="114" spans="1:4" outlineLevel="1" x14ac:dyDescent="0.2">
      <c r="A114" t="s">
        <v>40</v>
      </c>
      <c r="B114" s="23">
        <f t="shared" si="14"/>
        <v>0.26046024813426083</v>
      </c>
      <c r="C114" s="23">
        <f t="shared" si="14"/>
        <v>0.22816592690010412</v>
      </c>
      <c r="D114" s="23">
        <f t="shared" si="14"/>
        <v>0.20934645175745853</v>
      </c>
    </row>
    <row r="115" spans="1:4" outlineLevel="1" x14ac:dyDescent="0.2">
      <c r="A115" t="s">
        <v>41</v>
      </c>
      <c r="B115" s="23">
        <f t="shared" si="14"/>
        <v>-3.9705935569715037E-2</v>
      </c>
      <c r="C115" s="23">
        <f t="shared" si="14"/>
        <v>-5.24795879226259E-2</v>
      </c>
      <c r="D115" s="23">
        <f t="shared" si="14"/>
        <v>-6.0694928570010471E-4</v>
      </c>
    </row>
    <row r="116" spans="1:4" outlineLevel="1" x14ac:dyDescent="0.2">
      <c r="A116" t="s">
        <v>42</v>
      </c>
      <c r="B116" s="23">
        <f t="shared" si="14"/>
        <v>-1.550769539111627E-2</v>
      </c>
      <c r="C116" s="23">
        <f t="shared" si="14"/>
        <v>-1.9650391802290536E-2</v>
      </c>
      <c r="D116" s="23">
        <f t="shared" si="14"/>
        <v>-3.2480295419801859E-2</v>
      </c>
    </row>
    <row r="117" spans="1:4" outlineLevel="1" x14ac:dyDescent="0.2">
      <c r="A117" t="s">
        <v>43</v>
      </c>
      <c r="B117" s="23">
        <f t="shared" si="14"/>
        <v>0.20524661717342954</v>
      </c>
      <c r="C117" s="23">
        <f t="shared" si="14"/>
        <v>0.15603594717518768</v>
      </c>
      <c r="D117" s="23">
        <f t="shared" si="14"/>
        <v>0.17625920705195655</v>
      </c>
    </row>
    <row r="118" spans="1:4" outlineLevel="1" x14ac:dyDescent="0.2">
      <c r="A118" s="7" t="s">
        <v>44</v>
      </c>
      <c r="B118" s="23">
        <f t="shared" si="14"/>
        <v>1</v>
      </c>
      <c r="C118" s="23">
        <f t="shared" si="14"/>
        <v>1</v>
      </c>
      <c r="D118" s="23">
        <f t="shared" si="14"/>
        <v>1</v>
      </c>
    </row>
    <row r="120" spans="1:4" ht="45" customHeight="1" outlineLevel="3" x14ac:dyDescent="0.35">
      <c r="A120" s="24" t="s">
        <v>46</v>
      </c>
    </row>
    <row r="121" spans="1:4" ht="23" outlineLevel="3" thickBot="1" x14ac:dyDescent="0.35">
      <c r="A121" s="5" t="s">
        <v>1</v>
      </c>
      <c r="B121" s="12">
        <v>2025</v>
      </c>
      <c r="C121" s="12">
        <v>2024</v>
      </c>
      <c r="D121" s="12">
        <v>2023</v>
      </c>
    </row>
    <row r="122" spans="1:4" outlineLevel="3" x14ac:dyDescent="0.2">
      <c r="A122" t="s">
        <v>2</v>
      </c>
    </row>
    <row r="123" spans="1:4" outlineLevel="3" x14ac:dyDescent="0.2">
      <c r="A123" t="s">
        <v>14</v>
      </c>
      <c r="B123" s="25">
        <f t="shared" ref="B123:C131" si="15">B5/C5-1</f>
        <v>6.425511782832749E-2</v>
      </c>
      <c r="C123" s="25">
        <f t="shared" si="15"/>
        <v>2.021994077514111E-2</v>
      </c>
    </row>
    <row r="124" spans="1:4" outlineLevel="3" x14ac:dyDescent="0.2">
      <c r="A124" s="8" t="s">
        <v>3</v>
      </c>
      <c r="B124" s="25">
        <f t="shared" si="15"/>
        <v>5.0429755837833712E-2</v>
      </c>
      <c r="C124" s="25">
        <f t="shared" si="15"/>
        <v>-1.7675600199872021E-2</v>
      </c>
    </row>
    <row r="125" spans="1:4" outlineLevel="3" x14ac:dyDescent="0.2">
      <c r="A125" t="s">
        <v>4</v>
      </c>
      <c r="B125" s="25">
        <f t="shared" si="15"/>
        <v>8.0350669404426478E-2</v>
      </c>
      <c r="C125" s="25">
        <f t="shared" si="15"/>
        <v>6.8194717052522114E-2</v>
      </c>
    </row>
    <row r="126" spans="1:4" outlineLevel="3" x14ac:dyDescent="0.2">
      <c r="A126" t="s">
        <v>5</v>
      </c>
      <c r="B126" s="25">
        <f t="shared" si="15"/>
        <v>0.10137073637233018</v>
      </c>
      <c r="C126" s="25">
        <f t="shared" si="15"/>
        <v>4.8637807120173848E-2</v>
      </c>
    </row>
    <row r="127" spans="1:4" outlineLevel="3" x14ac:dyDescent="0.2">
      <c r="A127" s="8" t="s">
        <v>6</v>
      </c>
      <c r="B127" s="25">
        <f t="shared" si="15"/>
        <v>5.7631145342376566E-2</v>
      </c>
      <c r="C127" s="25">
        <f t="shared" si="15"/>
        <v>4.6727097705759668E-2</v>
      </c>
    </row>
    <row r="128" spans="1:4" outlineLevel="3" x14ac:dyDescent="0.2">
      <c r="A128" t="s">
        <v>7</v>
      </c>
      <c r="B128" s="25">
        <f t="shared" si="15"/>
        <v>8.1507647867471666E-2</v>
      </c>
      <c r="C128" s="25">
        <f t="shared" si="15"/>
        <v>4.7769249001768488E-2</v>
      </c>
    </row>
    <row r="129" spans="1:4" outlineLevel="3" x14ac:dyDescent="0.2">
      <c r="A129" t="s">
        <v>8</v>
      </c>
      <c r="B129" s="25">
        <f t="shared" si="15"/>
        <v>7.9811063498246959E-2</v>
      </c>
      <c r="C129" s="25">
        <f t="shared" si="15"/>
        <v>7.7995818059334532E-2</v>
      </c>
    </row>
    <row r="130" spans="1:4" outlineLevel="3" x14ac:dyDescent="0.2">
      <c r="A130" t="s">
        <v>9</v>
      </c>
      <c r="B130" s="25">
        <f t="shared" si="15"/>
        <v>2.2105723023154278E-2</v>
      </c>
      <c r="C130" s="25">
        <f t="shared" si="15"/>
        <v>-6.4241687646496848E-3</v>
      </c>
    </row>
    <row r="131" spans="1:4" outlineLevel="3" x14ac:dyDescent="0.2">
      <c r="B131" s="25">
        <f t="shared" si="15"/>
        <v>7.4906617357661132E-2</v>
      </c>
      <c r="C131" s="25">
        <f t="shared" si="15"/>
        <v>7.0267048164043944E-2</v>
      </c>
    </row>
    <row r="132" spans="1:4" outlineLevel="3" x14ac:dyDescent="0.2">
      <c r="A132" t="s">
        <v>10</v>
      </c>
      <c r="B132" s="25" t="s">
        <v>47</v>
      </c>
      <c r="C132" s="25" t="s">
        <v>47</v>
      </c>
      <c r="D132" s="23"/>
    </row>
    <row r="133" spans="1:4" outlineLevel="3" x14ac:dyDescent="0.2">
      <c r="A133" t="s">
        <v>11</v>
      </c>
      <c r="B133" s="25">
        <f t="shared" ref="B133:C135" si="16">B16/C16-1</f>
        <v>7.4859294651172137E-2</v>
      </c>
      <c r="C133" s="25">
        <f t="shared" si="16"/>
        <v>8.5716044172469585E-2</v>
      </c>
    </row>
    <row r="134" spans="1:4" outlineLevel="3" x14ac:dyDescent="0.2">
      <c r="A134" t="s">
        <v>12</v>
      </c>
      <c r="B134" s="25">
        <f t="shared" si="16"/>
        <v>-0.30353961477696734</v>
      </c>
      <c r="C134" s="25">
        <f t="shared" si="16"/>
        <v>0.77701451526193188</v>
      </c>
    </row>
    <row r="135" spans="1:4" outlineLevel="3" x14ac:dyDescent="0.2">
      <c r="A135" s="8" t="s">
        <v>13</v>
      </c>
      <c r="B135" s="25">
        <f t="shared" si="16"/>
        <v>0.19495177946573361</v>
      </c>
      <c r="C135" s="25">
        <f t="shared" si="16"/>
        <v>-3.3599670086086886E-2</v>
      </c>
    </row>
    <row r="137" spans="1:4" ht="27" outlineLevel="1" x14ac:dyDescent="0.2">
      <c r="A137" s="11" t="s">
        <v>15</v>
      </c>
    </row>
    <row r="138" spans="1:4" ht="22" outlineLevel="1" x14ac:dyDescent="0.3">
      <c r="A138" s="12" t="s">
        <v>16</v>
      </c>
      <c r="B138" s="12">
        <v>2025</v>
      </c>
      <c r="C138" s="12">
        <v>2024</v>
      </c>
      <c r="D138" s="12">
        <v>2023</v>
      </c>
    </row>
    <row r="139" spans="1:4" outlineLevel="1" x14ac:dyDescent="0.2"/>
    <row r="140" spans="1:4" ht="19" outlineLevel="1" x14ac:dyDescent="0.25">
      <c r="A140" s="14" t="s">
        <v>17</v>
      </c>
    </row>
    <row r="141" spans="1:4" outlineLevel="1" x14ac:dyDescent="0.2">
      <c r="A141" t="s">
        <v>18</v>
      </c>
      <c r="B141" s="23">
        <f t="shared" ref="B141:C155" si="17">B24/C24-1</f>
        <v>0.20008015228934983</v>
      </c>
      <c r="C141" s="23">
        <f>C24/D24-1</f>
        <v>-7.3418988820295183E-4</v>
      </c>
    </row>
    <row r="142" spans="1:4" outlineLevel="1" x14ac:dyDescent="0.2">
      <c r="A142" t="s">
        <v>19</v>
      </c>
      <c r="B142" s="23">
        <f>B25/C25-1</f>
        <v>-0.46738389917111389</v>
      </c>
      <c r="C142" s="23">
        <f t="shared" si="17"/>
        <v>0.11516302627413744</v>
      </c>
    </row>
    <row r="143" spans="1:4" outlineLevel="1" x14ac:dyDescent="0.2">
      <c r="A143" t="s">
        <v>20</v>
      </c>
      <c r="B143" s="23">
        <f t="shared" si="17"/>
        <v>0.1905716851242143</v>
      </c>
      <c r="C143" s="23">
        <f t="shared" si="17"/>
        <v>0.13223532601328447</v>
      </c>
    </row>
    <row r="144" spans="1:4" outlineLevel="1" x14ac:dyDescent="0.2">
      <c r="A144" t="s">
        <v>21</v>
      </c>
      <c r="B144" s="23">
        <f t="shared" si="17"/>
        <v>1.0568635214570632E-2</v>
      </c>
      <c r="C144" s="23">
        <f t="shared" si="17"/>
        <v>4.3079073609302077E-2</v>
      </c>
    </row>
    <row r="145" spans="1:3" outlineLevel="1" x14ac:dyDescent="0.2">
      <c r="A145" t="s">
        <v>22</v>
      </c>
      <c r="B145" s="23">
        <f t="shared" si="17"/>
        <v>-0.21520724677463632</v>
      </c>
      <c r="C145" s="23">
        <f t="shared" si="17"/>
        <v>0.15084504817564359</v>
      </c>
    </row>
    <row r="146" spans="1:3" outlineLevel="1" x14ac:dyDescent="0.2">
      <c r="A146" s="13" t="str">
        <f>PROPER("other  current assets")</f>
        <v>Other  Current Assets</v>
      </c>
      <c r="B146" s="23">
        <f t="shared" si="17"/>
        <v>2.0858122768950826E-2</v>
      </c>
      <c r="C146" s="23">
        <f t="shared" si="17"/>
        <v>-2.7764545763865223E-2</v>
      </c>
    </row>
    <row r="147" spans="1:3" outlineLevel="1" x14ac:dyDescent="0.2">
      <c r="A147" s="7" t="s">
        <v>23</v>
      </c>
      <c r="B147" s="23">
        <f>B30/C30-1</f>
        <v>-3.2878610600900693E-2</v>
      </c>
      <c r="C147" s="23">
        <f>C30/D30-1</f>
        <v>6.56213866792974E-2</v>
      </c>
    </row>
    <row r="148" spans="1:3" outlineLevel="1" x14ac:dyDescent="0.2">
      <c r="B148" s="23"/>
      <c r="C148" s="23"/>
    </row>
    <row r="149" spans="1:3" outlineLevel="1" x14ac:dyDescent="0.2">
      <c r="B149" s="23"/>
      <c r="C149" s="23"/>
    </row>
    <row r="150" spans="1:3" ht="19" outlineLevel="1" x14ac:dyDescent="0.25">
      <c r="A150" s="14" t="s">
        <v>24</v>
      </c>
      <c r="B150" s="23"/>
      <c r="C150" s="23"/>
    </row>
    <row r="151" spans="1:3" outlineLevel="1" x14ac:dyDescent="0.2">
      <c r="A151" t="s">
        <v>19</v>
      </c>
      <c r="B151" s="23">
        <f t="shared" si="17"/>
        <v>-0.15037330972135676</v>
      </c>
      <c r="C151" s="23">
        <f t="shared" si="17"/>
        <v>-9.0159532145130505E-2</v>
      </c>
    </row>
    <row r="152" spans="1:3" outlineLevel="1" x14ac:dyDescent="0.2">
      <c r="A152" t="s">
        <v>25</v>
      </c>
      <c r="B152" s="23">
        <f t="shared" si="17"/>
        <v>9.0936952714535835E-2</v>
      </c>
      <c r="C152" s="23">
        <f t="shared" si="17"/>
        <v>4.4950245911014486E-2</v>
      </c>
    </row>
    <row r="153" spans="1:3" outlineLevel="1" x14ac:dyDescent="0.2">
      <c r="A153" t="s">
        <v>26</v>
      </c>
      <c r="B153" s="23">
        <f t="shared" si="17"/>
        <v>0.11883635780527557</v>
      </c>
      <c r="C153" s="23">
        <f t="shared" si="17"/>
        <v>0.15559467556132067</v>
      </c>
    </row>
    <row r="154" spans="1:3" outlineLevel="1" x14ac:dyDescent="0.2">
      <c r="A154" t="s">
        <v>27</v>
      </c>
      <c r="B154" s="23">
        <f t="shared" si="17"/>
        <v>-3.344450052596093E-3</v>
      </c>
      <c r="C154" s="23">
        <f t="shared" si="17"/>
        <v>1.4238076328719762E-2</v>
      </c>
    </row>
    <row r="155" spans="1:3" outlineLevel="1" x14ac:dyDescent="0.2">
      <c r="A155" s="7" t="s">
        <v>28</v>
      </c>
      <c r="B155" s="23">
        <f t="shared" si="17"/>
        <v>-1.5724149268453114E-2</v>
      </c>
      <c r="C155" s="23">
        <f t="shared" si="17"/>
        <v>3.516051539637477E-2</v>
      </c>
    </row>
    <row r="156" spans="1:3" outlineLevel="1" x14ac:dyDescent="0.2"/>
    <row r="157" spans="1:3" ht="19" outlineLevel="1" x14ac:dyDescent="0.25">
      <c r="A157" s="14" t="str">
        <f>UPPER("Liabilities and shareholders equity")</f>
        <v>LIABILITIES AND SHAREHOLDERS EQUITY</v>
      </c>
    </row>
    <row r="158" spans="1:3" outlineLevel="1" x14ac:dyDescent="0.2">
      <c r="A158" t="str">
        <f t="shared" ref="A158" si="18">PROPER("current liabilities")</f>
        <v>Current Liabilities</v>
      </c>
    </row>
    <row r="159" spans="1:3" outlineLevel="1" x14ac:dyDescent="0.2">
      <c r="A159" t="s">
        <v>29</v>
      </c>
      <c r="B159" s="23">
        <f t="shared" ref="B159:C164" si="19">B42/C42-1</f>
        <v>1.3051044083526753E-2</v>
      </c>
      <c r="C159" s="23">
        <f t="shared" si="19"/>
        <v>0.10140390666176868</v>
      </c>
    </row>
    <row r="160" spans="1:3" outlineLevel="1" x14ac:dyDescent="0.2">
      <c r="A160" t="s">
        <v>30</v>
      </c>
      <c r="B160" s="23">
        <f t="shared" si="19"/>
        <v>-0.15218890478136493</v>
      </c>
      <c r="C160" s="23">
        <f t="shared" si="19"/>
        <v>0.33104421288820141</v>
      </c>
    </row>
    <row r="161" spans="1:3" outlineLevel="1" x14ac:dyDescent="0.2">
      <c r="A161" t="s">
        <v>31</v>
      </c>
      <c r="B161" s="23">
        <f t="shared" si="19"/>
        <v>9.7708813189477439E-2</v>
      </c>
      <c r="C161" s="23">
        <f t="shared" si="19"/>
        <v>2.3322168465450988E-2</v>
      </c>
    </row>
    <row r="162" spans="1:3" outlineLevel="1" x14ac:dyDescent="0.2">
      <c r="A162" t="s">
        <v>32</v>
      </c>
      <c r="B162" s="23">
        <f t="shared" si="19"/>
        <v>-0.19945821209992975</v>
      </c>
      <c r="C162" s="23">
        <f t="shared" si="19"/>
        <v>0.6653299916457811</v>
      </c>
    </row>
    <row r="163" spans="1:3" outlineLevel="1" x14ac:dyDescent="0.2">
      <c r="A163" t="s">
        <v>33</v>
      </c>
      <c r="B163" s="23">
        <f t="shared" si="19"/>
        <v>0.13178152492668627</v>
      </c>
      <c r="C163" s="23">
        <f t="shared" si="19"/>
        <v>0.1109753614335165</v>
      </c>
    </row>
    <row r="164" spans="1:3" outlineLevel="1" x14ac:dyDescent="0.2">
      <c r="A164" s="7" t="s">
        <v>34</v>
      </c>
      <c r="B164" s="23">
        <f t="shared" si="19"/>
        <v>-6.1006168080184997E-2</v>
      </c>
      <c r="C164" s="23">
        <f t="shared" si="19"/>
        <v>0.21391802240757563</v>
      </c>
    </row>
    <row r="165" spans="1:3" outlineLevel="1" x14ac:dyDescent="0.2">
      <c r="B165" s="23"/>
      <c r="C165" s="23"/>
    </row>
    <row r="166" spans="1:3" ht="19" outlineLevel="1" x14ac:dyDescent="0.25">
      <c r="A166" s="15" t="s">
        <v>35</v>
      </c>
      <c r="B166" s="23"/>
      <c r="C166" s="23"/>
    </row>
    <row r="167" spans="1:3" outlineLevel="1" x14ac:dyDescent="0.2">
      <c r="A167" t="s">
        <v>33</v>
      </c>
      <c r="B167" s="23">
        <f t="shared" ref="B167:C170" si="20">B50/C50-1</f>
        <v>-8.6553935860058329E-2</v>
      </c>
      <c r="C167" s="23">
        <f t="shared" si="20"/>
        <v>-0.1000304362884521</v>
      </c>
    </row>
    <row r="168" spans="1:3" outlineLevel="1" x14ac:dyDescent="0.2">
      <c r="A168" t="s">
        <v>36</v>
      </c>
      <c r="B168" s="23">
        <f t="shared" si="20"/>
        <v>-9.4556311018131112E-2</v>
      </c>
      <c r="C168" s="23">
        <f t="shared" si="20"/>
        <v>-7.9441502166586409E-2</v>
      </c>
    </row>
    <row r="169" spans="1:3" outlineLevel="1" x14ac:dyDescent="0.2">
      <c r="A169" t="s">
        <v>37</v>
      </c>
      <c r="B169" s="23">
        <f t="shared" si="20"/>
        <v>-8.934350263601698E-2</v>
      </c>
      <c r="C169" s="23">
        <f t="shared" si="20"/>
        <v>-9.2958678141515483E-2</v>
      </c>
    </row>
    <row r="170" spans="1:3" outlineLevel="1" x14ac:dyDescent="0.2">
      <c r="A170" s="7" t="s">
        <v>38</v>
      </c>
      <c r="B170" s="23">
        <f t="shared" si="20"/>
        <v>-7.3116254910235989E-2</v>
      </c>
      <c r="C170" s="23">
        <f t="shared" si="20"/>
        <v>6.0574238130816749E-2</v>
      </c>
    </row>
    <row r="171" spans="1:3" outlineLevel="1" x14ac:dyDescent="0.2"/>
    <row r="172" spans="1:3" ht="19" outlineLevel="1" x14ac:dyDescent="0.25">
      <c r="A172" s="15" t="s">
        <v>39</v>
      </c>
    </row>
    <row r="173" spans="1:3" outlineLevel="1" x14ac:dyDescent="0.2">
      <c r="A173" t="s">
        <v>40</v>
      </c>
      <c r="B173" s="23">
        <f t="shared" ref="B173:C177" si="21">B56/C56-1</f>
        <v>0.12358902925212556</v>
      </c>
      <c r="C173" s="23">
        <f t="shared" si="21"/>
        <v>0.12821763398905328</v>
      </c>
    </row>
    <row r="174" spans="1:3" outlineLevel="1" x14ac:dyDescent="0.2">
      <c r="A174" t="s">
        <v>41</v>
      </c>
      <c r="B174" s="23">
        <f t="shared" si="21"/>
        <v>-0.2552991542236609</v>
      </c>
      <c r="C174" s="23">
        <f t="shared" si="21"/>
        <v>88.504672897196258</v>
      </c>
    </row>
    <row r="175" spans="1:3" outlineLevel="1" x14ac:dyDescent="0.2">
      <c r="A175" t="s">
        <v>42</v>
      </c>
      <c r="B175" s="23">
        <f t="shared" si="21"/>
        <v>-0.22322922476296714</v>
      </c>
      <c r="C175" s="23">
        <f t="shared" si="21"/>
        <v>-0.37373384561648615</v>
      </c>
    </row>
    <row r="176" spans="1:3" outlineLevel="1" x14ac:dyDescent="0.2">
      <c r="A176" t="s">
        <v>43</v>
      </c>
      <c r="B176" s="23">
        <f t="shared" si="21"/>
        <v>0.29469710272168559</v>
      </c>
      <c r="C176" s="23">
        <f t="shared" si="21"/>
        <v>-8.3609564573745687E-2</v>
      </c>
    </row>
    <row r="177" spans="1:4" outlineLevel="1" x14ac:dyDescent="0.2">
      <c r="A177" s="7" t="s">
        <v>44</v>
      </c>
      <c r="B177" s="23">
        <f t="shared" si="21"/>
        <v>-1.5724149268453114E-2</v>
      </c>
      <c r="C177" s="23">
        <f t="shared" si="21"/>
        <v>3.516051539637477E-2</v>
      </c>
    </row>
    <row r="179" spans="1:4" ht="33" customHeight="1" x14ac:dyDescent="0.35">
      <c r="A179" s="26" t="s">
        <v>48</v>
      </c>
    </row>
    <row r="180" spans="1:4" x14ac:dyDescent="0.2">
      <c r="A180" s="8" t="s">
        <v>49</v>
      </c>
    </row>
    <row r="181" spans="1:4" x14ac:dyDescent="0.2">
      <c r="A181" t="s">
        <v>50</v>
      </c>
      <c r="B181" s="23">
        <f>(B5-C5)/C5</f>
        <v>6.4255117828327393E-2</v>
      </c>
      <c r="C181" s="23">
        <f>(C5-D5)/D5</f>
        <v>2.0219940775141214E-2</v>
      </c>
    </row>
    <row r="182" spans="1:4" x14ac:dyDescent="0.2">
      <c r="A182" t="s">
        <v>51</v>
      </c>
      <c r="B182" s="23">
        <f>(B18-C18)/C18</f>
        <v>0.19495177946573355</v>
      </c>
      <c r="C182" s="23">
        <f>(C18-D18)/D18</f>
        <v>-3.3599670086086914E-2</v>
      </c>
    </row>
    <row r="183" spans="1:4" x14ac:dyDescent="0.2">
      <c r="A183" s="8" t="s">
        <v>52</v>
      </c>
      <c r="B183" s="23"/>
      <c r="C183" s="23"/>
    </row>
    <row r="184" spans="1:4" x14ac:dyDescent="0.2">
      <c r="A184" t="s">
        <v>53</v>
      </c>
      <c r="B184" s="23">
        <f>B7/B5</f>
        <v>0.46905164107160452</v>
      </c>
      <c r="C184" s="23">
        <f t="shared" ref="C184:D184" si="22">C7/C5</f>
        <v>0.46206349815233932</v>
      </c>
      <c r="D184" s="23">
        <f t="shared" si="22"/>
        <v>0.44131129577207562</v>
      </c>
    </row>
    <row r="185" spans="1:4" x14ac:dyDescent="0.2">
      <c r="A185" t="s">
        <v>54</v>
      </c>
      <c r="B185" s="23">
        <f t="shared" ref="B185:D185" si="23">B13/B5</f>
        <v>0.34781731108873731</v>
      </c>
      <c r="C185" s="23">
        <f t="shared" si="23"/>
        <v>0.34437070850435381</v>
      </c>
      <c r="D185" s="23">
        <f t="shared" si="23"/>
        <v>0.32826747720364741</v>
      </c>
    </row>
    <row r="186" spans="1:4" x14ac:dyDescent="0.2">
      <c r="A186" t="s">
        <v>55</v>
      </c>
      <c r="B186" s="23">
        <f t="shared" ref="B186:D186" si="24">B11/B5</f>
        <v>0.31970799762591884</v>
      </c>
      <c r="C186" s="23">
        <f t="shared" si="24"/>
        <v>0.31510222870075566</v>
      </c>
      <c r="D186" s="23">
        <f t="shared" si="24"/>
        <v>0.29821412265024722</v>
      </c>
    </row>
    <row r="187" spans="1:4" x14ac:dyDescent="0.2">
      <c r="A187" t="s">
        <v>56</v>
      </c>
      <c r="B187" s="23">
        <f>B18/B5</f>
        <v>0.26915064121818238</v>
      </c>
      <c r="C187" s="23">
        <f t="shared" ref="C187:D187" si="25">C18/C5</f>
        <v>0.23971255769943867</v>
      </c>
      <c r="D187" s="23">
        <f t="shared" si="25"/>
        <v>0.25306234264320282</v>
      </c>
    </row>
    <row r="188" spans="1:4" x14ac:dyDescent="0.2">
      <c r="A188" t="s">
        <v>57</v>
      </c>
      <c r="B188" s="23">
        <f t="shared" ref="B188:D188" si="26">B18/AVERAGE(B38:C38)</f>
        <v>0.3093254683307996</v>
      </c>
      <c r="C188" s="23">
        <f t="shared" si="26"/>
        <v>0.26126207733676349</v>
      </c>
      <c r="D188" s="23">
        <f t="shared" si="26"/>
        <v>0.27509834563776475</v>
      </c>
    </row>
    <row r="189" spans="1:4" x14ac:dyDescent="0.2">
      <c r="A189" t="s">
        <v>58</v>
      </c>
      <c r="B189" s="23">
        <f t="shared" ref="B189:D189" si="27">B18/AVERAGE(B59:C59)</f>
        <v>1.7142244974480232</v>
      </c>
      <c r="C189" s="23">
        <f t="shared" si="27"/>
        <v>1.5741250755692886</v>
      </c>
      <c r="D189" s="23">
        <f t="shared" si="27"/>
        <v>1.5607601454639075</v>
      </c>
    </row>
    <row r="190" spans="1:4" x14ac:dyDescent="0.2">
      <c r="A190" s="8" t="s">
        <v>59</v>
      </c>
      <c r="B190" s="27"/>
      <c r="C190" s="27"/>
    </row>
    <row r="191" spans="1:4" x14ac:dyDescent="0.2">
      <c r="A191" t="s">
        <v>60</v>
      </c>
      <c r="B191" s="27">
        <f>B5/AVERAGE(B38:C38)</f>
        <v>1.149265210481331</v>
      </c>
      <c r="C191" s="27">
        <f t="shared" ref="C191:D191" si="28">C5/AVERAGE(C38:D38)</f>
        <v>1.0898973330564703</v>
      </c>
      <c r="D191" s="27">
        <f t="shared" si="28"/>
        <v>1.0870773690166571</v>
      </c>
    </row>
    <row r="192" spans="1:4" x14ac:dyDescent="0.2">
      <c r="A192" t="s">
        <v>61</v>
      </c>
      <c r="B192" s="27">
        <f>ABS(B6)/AVERAGE(B28:C28)</f>
        <v>33.98338972623808</v>
      </c>
      <c r="C192" s="27">
        <f t="shared" ref="C192:D192" si="29">ABS(C6)/AVERAGE(C28:D28)</f>
        <v>30.895498274216052</v>
      </c>
      <c r="D192" s="27">
        <f t="shared" si="29"/>
        <v>33.823566577160008</v>
      </c>
    </row>
    <row r="193" spans="1:4" x14ac:dyDescent="0.2">
      <c r="A193" t="s">
        <v>62</v>
      </c>
      <c r="B193" s="27">
        <f>B5/AVERAGE(B26:C26)</f>
        <v>11.372538838864825</v>
      </c>
      <c r="C193" s="27">
        <f t="shared" ref="C193:D193" si="30">C5/AVERAGE(C26:D26)</f>
        <v>12.429988238659844</v>
      </c>
      <c r="D193" s="27">
        <f t="shared" si="30"/>
        <v>12.989189372373593</v>
      </c>
    </row>
    <row r="194" spans="1:4" x14ac:dyDescent="0.2">
      <c r="A194" t="s">
        <v>63</v>
      </c>
      <c r="B194" s="27">
        <f>ABS(B6)/AVERAGE(B42:C42)</f>
        <v>3.1834029678720643</v>
      </c>
      <c r="C194" s="27">
        <f t="shared" ref="C194:D194" si="31">ABS(C6)/AVERAGE(C42:D42)</f>
        <v>3.1975435316293104</v>
      </c>
      <c r="D194" s="27">
        <f t="shared" si="31"/>
        <v>3.4201178706617048</v>
      </c>
    </row>
    <row r="195" spans="1:4" x14ac:dyDescent="0.2">
      <c r="A195" s="8" t="s">
        <v>64</v>
      </c>
    </row>
    <row r="196" spans="1:4" x14ac:dyDescent="0.2">
      <c r="A196" t="s">
        <v>65</v>
      </c>
      <c r="B196" s="28">
        <f>B30/B47</f>
        <v>0.89329292221866674</v>
      </c>
      <c r="C196" s="28">
        <f t="shared" ref="C196:D196" si="32">C30/C47</f>
        <v>0.86731257653408322</v>
      </c>
      <c r="D196" s="28">
        <f t="shared" si="32"/>
        <v>0.98801167175929749</v>
      </c>
    </row>
    <row r="197" spans="1:4" x14ac:dyDescent="0.2">
      <c r="A197" t="s">
        <v>66</v>
      </c>
      <c r="B197" s="28">
        <f>(B30-B28)/B47</f>
        <v>0.85877039926100796</v>
      </c>
      <c r="C197" s="28">
        <f>(C30-C28)/C47</f>
        <v>0.82600684838314664</v>
      </c>
      <c r="D197" s="28">
        <f>(D30-D28)/D47</f>
        <v>0.94444215046659508</v>
      </c>
    </row>
    <row r="198" spans="1:4" x14ac:dyDescent="0.2">
      <c r="A198" t="s">
        <v>67</v>
      </c>
      <c r="B198" s="28">
        <f>(B24+B25)/B47</f>
        <v>0.33023407453918652</v>
      </c>
      <c r="C198" s="28">
        <f t="shared" ref="C198:D198" si="33">(C24+C25)/C47</f>
        <v>0.36946686924577077</v>
      </c>
      <c r="D198" s="28">
        <f t="shared" si="33"/>
        <v>0.42361741955019683</v>
      </c>
    </row>
    <row r="199" spans="1:4" x14ac:dyDescent="0.2">
      <c r="A199" s="8" t="s">
        <v>68</v>
      </c>
    </row>
    <row r="200" spans="1:4" x14ac:dyDescent="0.2">
      <c r="A200" t="s">
        <v>69</v>
      </c>
      <c r="B200" s="27">
        <f>B53/B38</f>
        <v>0.79475338282657049</v>
      </c>
      <c r="C200" s="27">
        <f>C53/C38</f>
        <v>0.84396405282481235</v>
      </c>
      <c r="D200" s="27">
        <f>D53/D38</f>
        <v>0.82374079294804348</v>
      </c>
    </row>
    <row r="201" spans="1:4" x14ac:dyDescent="0.2">
      <c r="A201" t="s">
        <v>70</v>
      </c>
      <c r="B201" s="27">
        <f t="shared" ref="B201:D201" si="34">B53/B59</f>
        <v>3.8721874872852049</v>
      </c>
      <c r="C201" s="27">
        <f t="shared" si="34"/>
        <v>5.408779631255487</v>
      </c>
      <c r="D201" s="27">
        <f t="shared" si="34"/>
        <v>4.6734624915521517</v>
      </c>
    </row>
    <row r="202" spans="1:4" x14ac:dyDescent="0.2">
      <c r="A202" t="s">
        <v>71</v>
      </c>
      <c r="B202" s="27">
        <f>B11/B14</f>
        <v>32.11440984793628</v>
      </c>
      <c r="C202" s="27">
        <f t="shared" ref="C202:D202" si="35">C11/C14</f>
        <v>30.635504724017903</v>
      </c>
      <c r="D202" s="27">
        <f t="shared" si="35"/>
        <v>29.062039155860667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trishala singh</dc:creator>
  <cp:lastModifiedBy>trishala singh</cp:lastModifiedBy>
  <cp:lastPrinted>2026-03-20T11:08:31Z</cp:lastPrinted>
  <dcterms:created xsi:type="dcterms:W3CDTF">2026-03-20T03:17:00Z</dcterms:created>
  <dcterms:modified xsi:type="dcterms:W3CDTF">2026-07-10T11:25:30Z</dcterms:modified>
</cp:coreProperties>
</file>