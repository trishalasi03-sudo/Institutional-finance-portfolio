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3d46af12cbecb8/文件/"/>
    </mc:Choice>
  </mc:AlternateContent>
  <xr:revisionPtr revIDLastSave="0" documentId="8_{601F3416-9A41-AE43-BFCD-ABF13B8FD640}" xr6:coauthVersionLast="47" xr6:coauthVersionMax="47" xr10:uidLastSave="{00000000-0000-0000-0000-000000000000}"/>
  <bookViews>
    <workbookView xWindow="0" yWindow="760" windowWidth="34200" windowHeight="21380" activeTab="6" xr2:uid="{C2FC60EB-292E-3A4F-9255-77C0AE3904C2}"/>
  </bookViews>
  <sheets>
    <sheet name="COVER&amp;READ ME" sheetId="1" r:id="rId1"/>
    <sheet name="ASSUMPTIONS" sheetId="2" r:id="rId2"/>
    <sheet name="UBS STANDALONE" sheetId="3" r:id="rId3"/>
    <sheet name="CBK STANDALONE" sheetId="4" r:id="rId4"/>
    <sheet name="CCA COMPS" sheetId="5" r:id="rId5"/>
    <sheet name="DATA SOURCES" sheetId="7" r:id="rId6"/>
    <sheet name="M&amp;A ENGINE" sheetId="6" r:id="rId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5" i="1"/>
  <c r="B14" i="1"/>
  <c r="B11" i="1"/>
  <c r="B10" i="1"/>
  <c r="G14" i="6"/>
  <c r="I27" i="6"/>
  <c r="H27" i="6"/>
  <c r="I21" i="6"/>
  <c r="H21" i="6"/>
  <c r="G27" i="6"/>
  <c r="G21" i="6"/>
  <c r="G17" i="6"/>
  <c r="I16" i="6"/>
  <c r="H16" i="6"/>
  <c r="G16" i="6"/>
  <c r="I15" i="6"/>
  <c r="H15" i="6"/>
  <c r="G15" i="6"/>
  <c r="I14" i="6"/>
  <c r="H14" i="6"/>
  <c r="I13" i="6"/>
  <c r="I17" i="6" s="1"/>
  <c r="H13" i="6"/>
  <c r="H17" i="6" s="1"/>
  <c r="I12" i="6"/>
  <c r="H12" i="6"/>
  <c r="G12" i="6"/>
  <c r="G13" i="6"/>
  <c r="F12" i="5"/>
  <c r="E12" i="5"/>
  <c r="F11" i="5"/>
  <c r="E11" i="5"/>
  <c r="F10" i="5"/>
  <c r="E10" i="5"/>
  <c r="F9" i="5"/>
  <c r="E9" i="5"/>
  <c r="E5" i="7"/>
  <c r="F4" i="5"/>
  <c r="F3" i="5"/>
  <c r="N6" i="7"/>
  <c r="F6" i="5" s="1"/>
  <c r="N5" i="7"/>
  <c r="N4" i="7"/>
  <c r="N3" i="7"/>
  <c r="E6" i="5"/>
  <c r="E4" i="5"/>
  <c r="E3" i="5"/>
  <c r="D6" i="5"/>
  <c r="D5" i="5"/>
  <c r="D4" i="5"/>
  <c r="D3" i="5"/>
  <c r="I6" i="7"/>
  <c r="I5" i="7"/>
  <c r="I4" i="7"/>
  <c r="I3" i="7"/>
  <c r="C6" i="5"/>
  <c r="C5" i="5"/>
  <c r="F5" i="5" s="1"/>
  <c r="C4" i="5"/>
  <c r="C3" i="5"/>
  <c r="E6" i="7"/>
  <c r="E4" i="7"/>
  <c r="E3" i="7"/>
  <c r="I18" i="6" l="1"/>
  <c r="I19" i="6" s="1"/>
  <c r="H18" i="6"/>
  <c r="H19" i="6"/>
  <c r="G18" i="6"/>
  <c r="G19" i="6" s="1"/>
  <c r="E5" i="5"/>
  <c r="B10" i="6" l="1"/>
  <c r="B9" i="6"/>
  <c r="B8" i="6"/>
  <c r="E6" i="6" s="1"/>
  <c r="B7" i="6"/>
  <c r="B6" i="6"/>
  <c r="B35" i="2"/>
  <c r="B32" i="2"/>
  <c r="B15" i="2"/>
  <c r="B8" i="2"/>
  <c r="B10" i="2" s="1"/>
  <c r="B19" i="2"/>
  <c r="B20" i="2" s="1"/>
  <c r="B5" i="6" l="1"/>
  <c r="B32" i="6" s="1"/>
  <c r="B12" i="1"/>
  <c r="B25" i="2"/>
  <c r="B13" i="1" s="1"/>
  <c r="B26" i="2"/>
  <c r="E5" i="6" s="1"/>
  <c r="B27" i="2"/>
  <c r="H23" i="6" l="1"/>
  <c r="H24" i="6" s="1"/>
  <c r="H26" i="6" s="1"/>
  <c r="H28" i="6" s="1"/>
  <c r="H29" i="6" s="1"/>
  <c r="I23" i="6"/>
  <c r="I24" i="6" s="1"/>
  <c r="I26" i="6" s="1"/>
  <c r="I28" i="6" s="1"/>
  <c r="I29" i="6" s="1"/>
  <c r="B34" i="6" s="1"/>
  <c r="B19" i="1" s="1"/>
  <c r="G23" i="6"/>
  <c r="G24" i="6" s="1"/>
  <c r="G26" i="6" s="1"/>
  <c r="G28" i="6" s="1"/>
  <c r="G29" i="6" s="1"/>
  <c r="B33" i="6" s="1"/>
  <c r="B18" i="1" s="1"/>
</calcChain>
</file>

<file path=xl/sharedStrings.xml><?xml version="1.0" encoding="utf-8"?>
<sst xmlns="http://schemas.openxmlformats.org/spreadsheetml/2006/main" count="135" uniqueCount="123">
  <si>
    <t>UBS/COMMERZBANK M&amp;A TRANSACTION MODEL</t>
  </si>
  <si>
    <t>Global parameters &amp;FX conversion</t>
  </si>
  <si>
    <t>EUR/USD Exchange rate</t>
  </si>
  <si>
    <t>STANDALONE BASELINE DATA</t>
  </si>
  <si>
    <t>UBS Group AG (ACQUIRER)</t>
  </si>
  <si>
    <t>Current share price</t>
  </si>
  <si>
    <t>Fully diluted shares outstanding</t>
  </si>
  <si>
    <t>Implied standalone equity value</t>
  </si>
  <si>
    <t>COMMERZBANK AG (TARGET)</t>
  </si>
  <si>
    <t>DEAL STRUCTURE &amp; PURCHASE PRICE</t>
  </si>
  <si>
    <t>Assumed acquisition premium</t>
  </si>
  <si>
    <t>Implied offer price per share</t>
  </si>
  <si>
    <t>Implied transaction equity value</t>
  </si>
  <si>
    <t>Offer structure</t>
  </si>
  <si>
    <t>Implied exchange ratio</t>
  </si>
  <si>
    <t>TRANSACTION SYNERGIES &amp;TAX PARAMETERS</t>
  </si>
  <si>
    <t>Estimated pre-tax cost synergies</t>
  </si>
  <si>
    <t>UBS corporate tax rate</t>
  </si>
  <si>
    <t>After-tax annual cost synergies</t>
  </si>
  <si>
    <t>%Stock consideration</t>
  </si>
  <si>
    <t>%Cash consideration</t>
  </si>
  <si>
    <t>NOTE: All figures in USD</t>
  </si>
  <si>
    <t>New UBS shares issued</t>
  </si>
  <si>
    <t>Proforma FD shares out</t>
  </si>
  <si>
    <t>Basic shares outstanding</t>
  </si>
  <si>
    <t>Plus:Dilutive securities</t>
  </si>
  <si>
    <t xml:space="preserve">Fully diluted shares </t>
  </si>
  <si>
    <t>ACCRETION/DILUTION ANALYSIS</t>
  </si>
  <si>
    <t>($Millions  )</t>
  </si>
  <si>
    <t>Assumptions</t>
  </si>
  <si>
    <t>Purchase price</t>
  </si>
  <si>
    <t>Restructuring cost</t>
  </si>
  <si>
    <t>Cost to achieve multiple</t>
  </si>
  <si>
    <t>Tax rate</t>
  </si>
  <si>
    <t>Financing</t>
  </si>
  <si>
    <t>Shares issued</t>
  </si>
  <si>
    <t>New debt for restructuring</t>
  </si>
  <si>
    <t>Cost of debt</t>
  </si>
  <si>
    <t>Projection period</t>
  </si>
  <si>
    <t>UBS net income</t>
  </si>
  <si>
    <t>CBK net income</t>
  </si>
  <si>
    <t>Synergies</t>
  </si>
  <si>
    <t>Less:Restructuring cost</t>
  </si>
  <si>
    <t>Less:Incremental interest</t>
  </si>
  <si>
    <t>Earning before taxes</t>
  </si>
  <si>
    <t>Income tax @22%</t>
  </si>
  <si>
    <t>Proforma combined net income</t>
  </si>
  <si>
    <t>UBS standalone net income</t>
  </si>
  <si>
    <t>UBS standalone shares</t>
  </si>
  <si>
    <t>New shares issued</t>
  </si>
  <si>
    <t>Pro forma shares</t>
  </si>
  <si>
    <t>Pro forma combined EPS</t>
  </si>
  <si>
    <t>UBS standalone EPS</t>
  </si>
  <si>
    <t>Accretion/(dilution)-$</t>
  </si>
  <si>
    <t>Accretion/(dilution)-%</t>
  </si>
  <si>
    <t>Reatructuring cost multiple</t>
  </si>
  <si>
    <t>Total restructuring cost</t>
  </si>
  <si>
    <t>%Phased year 1</t>
  </si>
  <si>
    <t>KEY OUTPUTS</t>
  </si>
  <si>
    <t>Yr 1 Dilution:</t>
  </si>
  <si>
    <t>Yr3 Dilution:</t>
  </si>
  <si>
    <t>Breakeven:</t>
  </si>
  <si>
    <t>&gt;2028</t>
  </si>
  <si>
    <t>UBS STANDALONE</t>
  </si>
  <si>
    <t>Net income($m)</t>
  </si>
  <si>
    <t>CBK STANDALONE</t>
  </si>
  <si>
    <t>COMPANY COMPARABLE ANALYSIS</t>
  </si>
  <si>
    <t xml:space="preserve">Company </t>
  </si>
  <si>
    <t>Ticker</t>
  </si>
  <si>
    <t>Market cap</t>
  </si>
  <si>
    <t>Net income</t>
  </si>
  <si>
    <t>P/E</t>
  </si>
  <si>
    <t>P/B</t>
  </si>
  <si>
    <t>Deutsche bank</t>
  </si>
  <si>
    <t>BNP Paribas</t>
  </si>
  <si>
    <t xml:space="preserve">ING group </t>
  </si>
  <si>
    <t xml:space="preserve">UniCredit </t>
  </si>
  <si>
    <t>DBK</t>
  </si>
  <si>
    <t>BNP</t>
  </si>
  <si>
    <t>INGA</t>
  </si>
  <si>
    <t>UCG</t>
  </si>
  <si>
    <t>SHARES OUTSTANDING</t>
  </si>
  <si>
    <t>SHARE PRICE ( 31 DEC 2025)</t>
  </si>
  <si>
    <t>(EURO)</t>
  </si>
  <si>
    <t>SHARE PRICE IN (USD)</t>
  </si>
  <si>
    <t>NET INCOME(EUROS)</t>
  </si>
  <si>
    <t>NET INCOME(USD)</t>
  </si>
  <si>
    <t>TOTAL SHAREHOLDERS EQUITY (EURO)</t>
  </si>
  <si>
    <t>TOTAL SHAREHOLDER EQUITY (USD)</t>
  </si>
  <si>
    <t>STATISTICS</t>
  </si>
  <si>
    <t>Average</t>
  </si>
  <si>
    <t>Median</t>
  </si>
  <si>
    <t>Low</t>
  </si>
  <si>
    <t>High</t>
  </si>
  <si>
    <t>%Phased year 2</t>
  </si>
  <si>
    <t>%Phased year 3</t>
  </si>
  <si>
    <t>UBS/COMMERZBANK - M&amp;A MODEL</t>
  </si>
  <si>
    <t>Transaction Overview</t>
  </si>
  <si>
    <t>Acquirer:UBS Group AG</t>
  </si>
  <si>
    <t>Target:Commerzbank AG</t>
  </si>
  <si>
    <t>Structure:100% Stock</t>
  </si>
  <si>
    <t>Announcement Date: May 2026</t>
  </si>
  <si>
    <t>Key assumptions(From assumptions tab)</t>
  </si>
  <si>
    <t>Premium:</t>
  </si>
  <si>
    <t xml:space="preserve">"CBK Price </t>
  </si>
  <si>
    <t>Exchange ratio</t>
  </si>
  <si>
    <t>Restructuring</t>
  </si>
  <si>
    <t xml:space="preserve">Yr 1 Dilution </t>
  </si>
  <si>
    <t>Yr 3 Dilution</t>
  </si>
  <si>
    <t>Breakeven</t>
  </si>
  <si>
    <t>MODEL STRUCTURE</t>
  </si>
  <si>
    <t>Assumptions- FX, prices, premium,synergies</t>
  </si>
  <si>
    <t>UBS Standalone- UBS net income 2025-2028</t>
  </si>
  <si>
    <t>CBK Standalone- CBK net income (EUR/USD)</t>
  </si>
  <si>
    <t>CCA COMPS - DBK,BNP,ING,UCG Multiples</t>
  </si>
  <si>
    <t>Data sources- raw comp data</t>
  </si>
  <si>
    <t>M&amp;A Engine- Accretion/dilution</t>
  </si>
  <si>
    <t>NOTES</t>
  </si>
  <si>
    <t>All figures in USD</t>
  </si>
  <si>
    <t>Tax rate:22% , Cost of debt:4.5%</t>
  </si>
  <si>
    <t>Synergies phased 60%/85%/100%</t>
  </si>
  <si>
    <t>YEAR</t>
  </si>
  <si>
    <t>NET INCOME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</si>
</sst>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&quot;x&quot;"/>
    <numFmt numFmtId="166" formatCode="\-0.00"/>
    <numFmt numFmtId="167" formatCode="0.0_);\(0.0\)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sz val="12"/>
      <color theme="4" tint="0.3999755851924192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3" tint="0.39997558519241921"/>
      <name val="Arial Narrow"/>
      <family val="2"/>
    </font>
    <font>
      <sz val="14"/>
      <color theme="3" tint="0.39997558519241921"/>
      <name val="Calibri"/>
      <family val="2"/>
      <scheme val="minor"/>
    </font>
    <font>
      <sz val="14"/>
      <color theme="3" tint="0.39997558519241921"/>
      <name val="Helvetica"/>
      <family val="2"/>
    </font>
    <font>
      <b/>
      <sz val="14"/>
      <color theme="3" tint="0.3999755851924192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1" fontId="0" fillId="0" borderId="0" xfId="0" applyNumberFormat="1"/>
    <xf numFmtId="0" fontId="2" fillId="0" borderId="0" xfId="0" applyFon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10" fontId="3" fillId="0" borderId="0" xfId="0" applyNumberFormat="1" applyFont="1"/>
    <xf numFmtId="9" fontId="3" fillId="0" borderId="0" xfId="0" applyNumberFormat="1" applyFont="1"/>
    <xf numFmtId="1" fontId="3" fillId="0" borderId="0" xfId="0" applyNumberFormat="1" applyFont="1"/>
    <xf numFmtId="164" fontId="0" fillId="0" borderId="0" xfId="0" applyNumberFormat="1"/>
    <xf numFmtId="0" fontId="4" fillId="0" borderId="0" xfId="0" applyFont="1"/>
    <xf numFmtId="9" fontId="4" fillId="0" borderId="0" xfId="0" applyNumberFormat="1" applyFont="1"/>
    <xf numFmtId="0" fontId="5" fillId="4" borderId="0" xfId="0" applyFont="1" applyFill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1" fillId="5" borderId="0" xfId="0" applyFont="1" applyFill="1"/>
    <xf numFmtId="3" fontId="0" fillId="0" borderId="0" xfId="0" applyNumberFormat="1"/>
    <xf numFmtId="165" fontId="0" fillId="0" borderId="0" xfId="0" applyNumberFormat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3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6" borderId="0" xfId="0" applyFont="1" applyFill="1"/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6" borderId="2" xfId="0" applyFont="1" applyFill="1" applyBorder="1"/>
    <xf numFmtId="0" fontId="3" fillId="0" borderId="4" xfId="0" applyFont="1" applyBorder="1"/>
    <xf numFmtId="0" fontId="7" fillId="6" borderId="0" xfId="0" applyFon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3A48-E8F2-9148-B68A-C86B872F08D1}">
  <dimension ref="A1:B33"/>
  <sheetViews>
    <sheetView zoomScale="131" workbookViewId="0">
      <selection activeCell="E26" sqref="E26"/>
    </sheetView>
  </sheetViews>
  <sheetFormatPr baseColWidth="10" defaultRowHeight="16" x14ac:dyDescent="0.2"/>
  <cols>
    <col min="1" max="1" width="34.33203125" customWidth="1"/>
  </cols>
  <sheetData>
    <row r="1" spans="1:2" x14ac:dyDescent="0.2">
      <c r="A1" s="30" t="s">
        <v>96</v>
      </c>
    </row>
    <row r="3" spans="1:2" x14ac:dyDescent="0.2">
      <c r="A3" s="30" t="s">
        <v>97</v>
      </c>
    </row>
    <row r="4" spans="1:2" x14ac:dyDescent="0.2">
      <c r="A4" t="s">
        <v>98</v>
      </c>
    </row>
    <row r="5" spans="1:2" x14ac:dyDescent="0.2">
      <c r="A5" t="s">
        <v>99</v>
      </c>
    </row>
    <row r="6" spans="1:2" x14ac:dyDescent="0.2">
      <c r="A6" t="s">
        <v>100</v>
      </c>
    </row>
    <row r="7" spans="1:2" x14ac:dyDescent="0.2">
      <c r="A7" t="s">
        <v>101</v>
      </c>
    </row>
    <row r="9" spans="1:2" x14ac:dyDescent="0.2">
      <c r="A9" s="30" t="s">
        <v>102</v>
      </c>
    </row>
    <row r="10" spans="1:2" x14ac:dyDescent="0.2">
      <c r="A10" t="s">
        <v>104</v>
      </c>
      <c r="B10" s="15">
        <f>ASSUMPTIONS!B12</f>
        <v>42.24</v>
      </c>
    </row>
    <row r="11" spans="1:2" x14ac:dyDescent="0.2">
      <c r="A11" t="s">
        <v>103</v>
      </c>
      <c r="B11" s="20">
        <f>ASSUMPTIONS!B18</f>
        <v>0.24</v>
      </c>
    </row>
    <row r="12" spans="1:2" x14ac:dyDescent="0.2">
      <c r="A12" t="s">
        <v>30</v>
      </c>
      <c r="B12" s="15">
        <f>ASSUMPTIONS!B20/1000</f>
        <v>57.458227200000003</v>
      </c>
    </row>
    <row r="13" spans="1:2" x14ac:dyDescent="0.2">
      <c r="A13" t="s">
        <v>105</v>
      </c>
      <c r="B13" s="15">
        <f>ASSUMPTIONS!B25</f>
        <v>1.1052458324541043</v>
      </c>
    </row>
    <row r="14" spans="1:2" x14ac:dyDescent="0.2">
      <c r="A14" t="s">
        <v>41</v>
      </c>
      <c r="B14" s="33">
        <f>ASSUMPTIONS!B30</f>
        <v>1500</v>
      </c>
    </row>
    <row r="15" spans="1:2" x14ac:dyDescent="0.2">
      <c r="A15" t="s">
        <v>106</v>
      </c>
      <c r="B15" s="15">
        <f>ASSUMPTIONS!B35</f>
        <v>2250</v>
      </c>
    </row>
    <row r="16" spans="1:2" x14ac:dyDescent="0.2">
      <c r="B16" s="15"/>
    </row>
    <row r="17" spans="1:2" x14ac:dyDescent="0.2">
      <c r="A17" s="30" t="s">
        <v>58</v>
      </c>
      <c r="B17" s="15"/>
    </row>
    <row r="18" spans="1:2" x14ac:dyDescent="0.2">
      <c r="A18" t="s">
        <v>107</v>
      </c>
      <c r="B18" s="20">
        <f>'M&amp;A ENGINE'!B33</f>
        <v>-0.20888721800562893</v>
      </c>
    </row>
    <row r="19" spans="1:2" x14ac:dyDescent="0.2">
      <c r="A19" t="s">
        <v>108</v>
      </c>
      <c r="B19" s="20">
        <f>'M&amp;A ENGINE'!B34</f>
        <v>-0.17029804352828987</v>
      </c>
    </row>
    <row r="20" spans="1:2" x14ac:dyDescent="0.2">
      <c r="A20" t="s">
        <v>109</v>
      </c>
      <c r="B20" s="15" t="str">
        <f>'M&amp;A ENGINE'!B35</f>
        <v>&gt;2028</v>
      </c>
    </row>
    <row r="22" spans="1:2" x14ac:dyDescent="0.2">
      <c r="A22" s="30" t="s">
        <v>110</v>
      </c>
    </row>
    <row r="23" spans="1:2" x14ac:dyDescent="0.2">
      <c r="A23" t="s">
        <v>111</v>
      </c>
    </row>
    <row r="24" spans="1:2" x14ac:dyDescent="0.2">
      <c r="A24" t="s">
        <v>112</v>
      </c>
    </row>
    <row r="25" spans="1:2" x14ac:dyDescent="0.2">
      <c r="A25" t="s">
        <v>113</v>
      </c>
    </row>
    <row r="26" spans="1:2" x14ac:dyDescent="0.2">
      <c r="A26" t="s">
        <v>114</v>
      </c>
    </row>
    <row r="27" spans="1:2" x14ac:dyDescent="0.2">
      <c r="A27" t="s">
        <v>115</v>
      </c>
    </row>
    <row r="28" spans="1:2" x14ac:dyDescent="0.2">
      <c r="A28" t="s">
        <v>116</v>
      </c>
    </row>
    <row r="30" spans="1:2" x14ac:dyDescent="0.2">
      <c r="A30" s="30" t="s">
        <v>117</v>
      </c>
    </row>
    <row r="31" spans="1:2" x14ac:dyDescent="0.2">
      <c r="A31" t="s">
        <v>118</v>
      </c>
    </row>
    <row r="32" spans="1:2" x14ac:dyDescent="0.2">
      <c r="A32" t="s">
        <v>119</v>
      </c>
    </row>
    <row r="33" spans="1:1" x14ac:dyDescent="0.2">
      <c r="A33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D282-FFD2-D94F-84C6-806445A25FEC}">
  <dimension ref="A1:B39"/>
  <sheetViews>
    <sheetView zoomScale="119" workbookViewId="0">
      <selection activeCell="B18" sqref="B18"/>
    </sheetView>
  </sheetViews>
  <sheetFormatPr baseColWidth="10" defaultRowHeight="16" x14ac:dyDescent="0.2"/>
  <cols>
    <col min="1" max="1" width="43.5" customWidth="1"/>
  </cols>
  <sheetData>
    <row r="1" spans="1:2" x14ac:dyDescent="0.2">
      <c r="A1" s="5" t="s">
        <v>0</v>
      </c>
    </row>
    <row r="3" spans="1:2" x14ac:dyDescent="0.2">
      <c r="A3" s="3" t="s">
        <v>1</v>
      </c>
    </row>
    <row r="4" spans="1:2" x14ac:dyDescent="0.2">
      <c r="A4" t="s">
        <v>2</v>
      </c>
      <c r="B4" s="6">
        <v>1.1599999999999999</v>
      </c>
    </row>
    <row r="5" spans="1:2" x14ac:dyDescent="0.2">
      <c r="A5" s="2" t="s">
        <v>21</v>
      </c>
      <c r="B5" s="6"/>
    </row>
    <row r="6" spans="1:2" x14ac:dyDescent="0.2">
      <c r="A6" t="s">
        <v>3</v>
      </c>
      <c r="B6" s="6"/>
    </row>
    <row r="7" spans="1:2" x14ac:dyDescent="0.2">
      <c r="A7" s="4" t="s">
        <v>4</v>
      </c>
      <c r="B7" s="6"/>
    </row>
    <row r="8" spans="1:2" x14ac:dyDescent="0.2">
      <c r="A8" t="s">
        <v>5</v>
      </c>
      <c r="B8" s="6">
        <f>47.39</f>
        <v>47.39</v>
      </c>
    </row>
    <row r="9" spans="1:2" x14ac:dyDescent="0.2">
      <c r="A9" t="s">
        <v>6</v>
      </c>
      <c r="B9" s="6">
        <v>3185</v>
      </c>
    </row>
    <row r="10" spans="1:2" x14ac:dyDescent="0.2">
      <c r="A10" t="s">
        <v>7</v>
      </c>
      <c r="B10" s="1">
        <f>B8*B9</f>
        <v>150937.15</v>
      </c>
    </row>
    <row r="11" spans="1:2" x14ac:dyDescent="0.2">
      <c r="A11" s="4" t="s">
        <v>8</v>
      </c>
    </row>
    <row r="12" spans="1:2" x14ac:dyDescent="0.2">
      <c r="A12" t="s">
        <v>5</v>
      </c>
      <c r="B12" s="6">
        <v>42.24</v>
      </c>
    </row>
    <row r="13" spans="1:2" x14ac:dyDescent="0.2">
      <c r="A13" t="s">
        <v>24</v>
      </c>
      <c r="B13" s="6">
        <v>1097</v>
      </c>
    </row>
    <row r="14" spans="1:2" x14ac:dyDescent="0.2">
      <c r="A14" t="s">
        <v>25</v>
      </c>
      <c r="B14" s="6">
        <v>29</v>
      </c>
    </row>
    <row r="15" spans="1:2" x14ac:dyDescent="0.2">
      <c r="A15" t="s">
        <v>26</v>
      </c>
      <c r="B15" s="6">
        <f>B13+B14</f>
        <v>1126</v>
      </c>
    </row>
    <row r="17" spans="1:2" x14ac:dyDescent="0.2">
      <c r="A17" s="4" t="s">
        <v>9</v>
      </c>
    </row>
    <row r="18" spans="1:2" x14ac:dyDescent="0.2">
      <c r="A18" t="s">
        <v>10</v>
      </c>
      <c r="B18" s="7">
        <v>0.24</v>
      </c>
    </row>
    <row r="19" spans="1:2" x14ac:dyDescent="0.2">
      <c r="A19" t="s">
        <v>11</v>
      </c>
      <c r="B19">
        <f>B12*(1+B18)</f>
        <v>52.377600000000001</v>
      </c>
    </row>
    <row r="20" spans="1:2" x14ac:dyDescent="0.2">
      <c r="A20" t="s">
        <v>12</v>
      </c>
      <c r="B20" s="1">
        <f>B13*B19</f>
        <v>57458.227200000001</v>
      </c>
    </row>
    <row r="22" spans="1:2" x14ac:dyDescent="0.2">
      <c r="A22" s="4" t="s">
        <v>13</v>
      </c>
    </row>
    <row r="23" spans="1:2" x14ac:dyDescent="0.2">
      <c r="A23" t="s">
        <v>19</v>
      </c>
      <c r="B23" s="8">
        <v>1</v>
      </c>
    </row>
    <row r="24" spans="1:2" x14ac:dyDescent="0.2">
      <c r="A24" t="s">
        <v>20</v>
      </c>
      <c r="B24" s="8">
        <v>0</v>
      </c>
    </row>
    <row r="25" spans="1:2" x14ac:dyDescent="0.2">
      <c r="A25" t="s">
        <v>14</v>
      </c>
      <c r="B25" s="10">
        <f>B19/B8</f>
        <v>1.1052458324541043</v>
      </c>
    </row>
    <row r="26" spans="1:2" x14ac:dyDescent="0.2">
      <c r="A26" t="s">
        <v>22</v>
      </c>
      <c r="B26">
        <f>B20/B8</f>
        <v>1212.4546782021523</v>
      </c>
    </row>
    <row r="27" spans="1:2" x14ac:dyDescent="0.2">
      <c r="A27" t="s">
        <v>23</v>
      </c>
      <c r="B27">
        <f>B9+B26</f>
        <v>4397.4546782021525</v>
      </c>
    </row>
    <row r="29" spans="1:2" x14ac:dyDescent="0.2">
      <c r="A29" s="4" t="s">
        <v>15</v>
      </c>
    </row>
    <row r="30" spans="1:2" x14ac:dyDescent="0.2">
      <c r="A30" t="s">
        <v>16</v>
      </c>
      <c r="B30" s="9">
        <v>1500</v>
      </c>
    </row>
    <row r="31" spans="1:2" x14ac:dyDescent="0.2">
      <c r="A31" t="s">
        <v>17</v>
      </c>
      <c r="B31" s="8">
        <v>0.22</v>
      </c>
    </row>
    <row r="32" spans="1:2" x14ac:dyDescent="0.2">
      <c r="A32" t="s">
        <v>18</v>
      </c>
      <c r="B32" s="1">
        <f>B30*(1-B31)</f>
        <v>1170</v>
      </c>
    </row>
    <row r="34" spans="1:2" x14ac:dyDescent="0.2">
      <c r="A34" t="s">
        <v>55</v>
      </c>
      <c r="B34" s="11">
        <v>1.5</v>
      </c>
    </row>
    <row r="35" spans="1:2" x14ac:dyDescent="0.2">
      <c r="A35" t="s">
        <v>56</v>
      </c>
      <c r="B35">
        <f>B30*B34</f>
        <v>2250</v>
      </c>
    </row>
    <row r="36" spans="1:2" x14ac:dyDescent="0.2">
      <c r="A36" t="s">
        <v>57</v>
      </c>
      <c r="B36" s="12">
        <v>0.6</v>
      </c>
    </row>
    <row r="37" spans="1:2" x14ac:dyDescent="0.2">
      <c r="A37" t="s">
        <v>94</v>
      </c>
      <c r="B37" s="12">
        <v>0.85</v>
      </c>
    </row>
    <row r="38" spans="1:2" x14ac:dyDescent="0.2">
      <c r="A38" t="s">
        <v>95</v>
      </c>
      <c r="B38" s="12">
        <v>1</v>
      </c>
    </row>
    <row r="39" spans="1:2" x14ac:dyDescent="0.2">
      <c r="B39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84C0-22D4-0F46-A61D-ADB13CE3D0DF}">
  <dimension ref="A1:B6"/>
  <sheetViews>
    <sheetView zoomScale="200" workbookViewId="0">
      <selection activeCell="C1" sqref="C1"/>
    </sheetView>
  </sheetViews>
  <sheetFormatPr baseColWidth="10" defaultRowHeight="16" x14ac:dyDescent="0.2"/>
  <cols>
    <col min="1" max="1" width="16" customWidth="1"/>
    <col min="2" max="2" width="14.6640625" customWidth="1"/>
  </cols>
  <sheetData>
    <row r="1" spans="1:2" x14ac:dyDescent="0.2">
      <c r="A1" s="14" t="s">
        <v>63</v>
      </c>
      <c r="B1" t="s">
        <v>64</v>
      </c>
    </row>
    <row r="2" spans="1:2" x14ac:dyDescent="0.2">
      <c r="A2" s="35" t="s">
        <v>121</v>
      </c>
    </row>
    <row r="3" spans="1:2" x14ac:dyDescent="0.2">
      <c r="A3" s="15">
        <v>2025</v>
      </c>
      <c r="B3" s="6">
        <v>7800</v>
      </c>
    </row>
    <row r="4" spans="1:2" x14ac:dyDescent="0.2">
      <c r="A4" s="15">
        <v>2026</v>
      </c>
      <c r="B4" s="6">
        <v>7200</v>
      </c>
    </row>
    <row r="5" spans="1:2" x14ac:dyDescent="0.2">
      <c r="A5" s="15">
        <v>2027</v>
      </c>
      <c r="B5" s="6">
        <v>7500</v>
      </c>
    </row>
    <row r="6" spans="1:2" x14ac:dyDescent="0.2">
      <c r="A6" s="34">
        <v>2028</v>
      </c>
      <c r="B6" s="37">
        <v>7800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5F2B-8EB4-954A-BE8A-2B48A97EE674}">
  <dimension ref="A2:B7"/>
  <sheetViews>
    <sheetView topLeftCell="A2" zoomScale="176" workbookViewId="0">
      <selection activeCell="B4" sqref="B4:B7"/>
    </sheetView>
  </sheetViews>
  <sheetFormatPr baseColWidth="10" defaultRowHeight="16" x14ac:dyDescent="0.2"/>
  <cols>
    <col min="1" max="1" width="18.6640625" customWidth="1"/>
    <col min="2" max="2" width="16.6640625" customWidth="1"/>
    <col min="3" max="3" width="16.1640625" customWidth="1"/>
  </cols>
  <sheetData>
    <row r="2" spans="1:2" x14ac:dyDescent="0.2">
      <c r="A2" s="14" t="s">
        <v>65</v>
      </c>
      <c r="B2" s="36" t="s">
        <v>122</v>
      </c>
    </row>
    <row r="3" spans="1:2" x14ac:dyDescent="0.2">
      <c r="A3" s="35" t="s">
        <v>121</v>
      </c>
    </row>
    <row r="4" spans="1:2" x14ac:dyDescent="0.2">
      <c r="A4" s="15">
        <v>2025</v>
      </c>
      <c r="B4" s="39">
        <v>2753.84</v>
      </c>
    </row>
    <row r="5" spans="1:2" x14ac:dyDescent="0.2">
      <c r="A5" s="15">
        <v>2026</v>
      </c>
      <c r="B5" s="39">
        <v>2836</v>
      </c>
    </row>
    <row r="6" spans="1:2" x14ac:dyDescent="0.2">
      <c r="A6" s="15">
        <v>2027</v>
      </c>
      <c r="B6" s="39">
        <v>2922</v>
      </c>
    </row>
    <row r="7" spans="1:2" x14ac:dyDescent="0.2">
      <c r="A7" s="15">
        <v>2028</v>
      </c>
      <c r="B7" s="39">
        <v>3009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3517-40BA-EF42-9A39-B09DCC28BF1E}">
  <dimension ref="A1:F12"/>
  <sheetViews>
    <sheetView zoomScale="172" workbookViewId="0">
      <selection activeCell="A11" sqref="A11"/>
    </sheetView>
  </sheetViews>
  <sheetFormatPr baseColWidth="10" defaultRowHeight="16" x14ac:dyDescent="0.2"/>
  <cols>
    <col min="1" max="1" width="30" customWidth="1"/>
  </cols>
  <sheetData>
    <row r="1" spans="1:6" x14ac:dyDescent="0.2">
      <c r="A1" s="40" t="s">
        <v>66</v>
      </c>
      <c r="B1" s="40"/>
      <c r="C1" s="40"/>
      <c r="D1" s="40"/>
      <c r="E1" s="40"/>
      <c r="F1" s="40"/>
    </row>
    <row r="2" spans="1:6" x14ac:dyDescent="0.2">
      <c r="A2" s="16" t="s">
        <v>67</v>
      </c>
      <c r="B2" s="16" t="s">
        <v>68</v>
      </c>
      <c r="C2" s="16" t="s">
        <v>69</v>
      </c>
      <c r="D2" s="16" t="s">
        <v>70</v>
      </c>
      <c r="E2" s="16" t="s">
        <v>71</v>
      </c>
      <c r="F2" s="16" t="s">
        <v>72</v>
      </c>
    </row>
    <row r="3" spans="1:6" x14ac:dyDescent="0.2">
      <c r="A3" t="s">
        <v>73</v>
      </c>
      <c r="B3" t="s">
        <v>77</v>
      </c>
      <c r="C3">
        <f>'DATA SOURCES'!B3*'DATA SOURCES'!E3</f>
        <v>85115.955839999995</v>
      </c>
      <c r="D3">
        <f>'DATA SOURCES'!I3</f>
        <v>8281.24</v>
      </c>
      <c r="E3" s="18">
        <f>C3/D3</f>
        <v>10.278165569407479</v>
      </c>
      <c r="F3" s="18">
        <f>C3/'DATA SOURCES'!N3</f>
        <v>1.0962578100488547</v>
      </c>
    </row>
    <row r="4" spans="1:6" x14ac:dyDescent="0.2">
      <c r="A4" t="s">
        <v>74</v>
      </c>
      <c r="B4" t="s">
        <v>78</v>
      </c>
      <c r="C4" s="17">
        <f>'DATA SOURCES'!B4*'DATA SOURCES'!E4</f>
        <v>121210.82208</v>
      </c>
      <c r="D4">
        <f>'DATA SOURCES'!I4</f>
        <v>14180.999999999998</v>
      </c>
      <c r="E4" s="18">
        <f>C4/D4</f>
        <v>8.5474100613496944</v>
      </c>
      <c r="F4" s="18">
        <f>C4/'DATA SOURCES'!N4</f>
        <v>0.83252004174866356</v>
      </c>
    </row>
    <row r="5" spans="1:6" x14ac:dyDescent="0.2">
      <c r="A5" t="s">
        <v>75</v>
      </c>
      <c r="B5" t="s">
        <v>79</v>
      </c>
      <c r="C5" s="17">
        <f>'DATA SOURCES'!B5*'DATA SOURCES'!E5</f>
        <v>80825.343200000003</v>
      </c>
      <c r="D5">
        <f>'DATA SOURCES'!I5</f>
        <v>7307.9999999999991</v>
      </c>
      <c r="E5" s="18">
        <f>C5/D5</f>
        <v>11.059844444444446</v>
      </c>
      <c r="F5" s="18">
        <f>C5/'DATA SOURCES'!N5</f>
        <v>1.402008531530444</v>
      </c>
    </row>
    <row r="6" spans="1:6" x14ac:dyDescent="0.2">
      <c r="A6" t="s">
        <v>76</v>
      </c>
      <c r="B6" t="s">
        <v>80</v>
      </c>
      <c r="C6">
        <f>'DATA SOURCES'!B6*'DATA SOURCES'!E6</f>
        <v>124453.82016</v>
      </c>
      <c r="D6">
        <f>'DATA SOURCES'!I6</f>
        <v>12785.519999999999</v>
      </c>
      <c r="E6" s="18">
        <f>C6/D6</f>
        <v>9.7339662493195434</v>
      </c>
      <c r="F6" s="18">
        <f>C6/'DATA SOURCES'!N6</f>
        <v>1.5844955177149949</v>
      </c>
    </row>
    <row r="8" spans="1:6" x14ac:dyDescent="0.2">
      <c r="A8" s="30" t="s">
        <v>89</v>
      </c>
    </row>
    <row r="9" spans="1:6" x14ac:dyDescent="0.2">
      <c r="A9" t="s">
        <v>90</v>
      </c>
      <c r="E9" s="18">
        <f>AVERAGE(E3:E6)</f>
        <v>9.9048465811302897</v>
      </c>
      <c r="F9" s="18">
        <f>AVERAGE(F3:F6)</f>
        <v>1.2288204752607392</v>
      </c>
    </row>
    <row r="10" spans="1:6" x14ac:dyDescent="0.2">
      <c r="A10" t="s">
        <v>91</v>
      </c>
      <c r="E10" s="18">
        <f>MEDIAN(E3:E6)</f>
        <v>10.00606590936351</v>
      </c>
      <c r="F10" s="18">
        <f>MEDIAN(F3:F6)</f>
        <v>1.2491331707896494</v>
      </c>
    </row>
    <row r="11" spans="1:6" x14ac:dyDescent="0.2">
      <c r="A11" t="s">
        <v>92</v>
      </c>
      <c r="E11" s="18">
        <f>MIN(E3:E6)</f>
        <v>8.5474100613496944</v>
      </c>
      <c r="F11" s="18">
        <f>MIN(F3:F6)</f>
        <v>0.83252004174866356</v>
      </c>
    </row>
    <row r="12" spans="1:6" x14ac:dyDescent="0.2">
      <c r="A12" t="s">
        <v>93</v>
      </c>
      <c r="E12" s="18">
        <f>MAX(E3:E6)</f>
        <v>11.059844444444446</v>
      </c>
      <c r="F12" s="18">
        <f>MAX(F3:F6)</f>
        <v>1.5844955177149949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0E13-BD75-4B4F-8319-4490D72E954A}">
  <dimension ref="A1:P6"/>
  <sheetViews>
    <sheetView topLeftCell="L1" zoomScale="94" workbookViewId="0">
      <selection activeCell="N2" sqref="N2"/>
    </sheetView>
  </sheetViews>
  <sheetFormatPr baseColWidth="10" defaultRowHeight="16" x14ac:dyDescent="0.2"/>
  <cols>
    <col min="1" max="1" width="22.6640625" customWidth="1"/>
    <col min="2" max="2" width="23.5" customWidth="1"/>
    <col min="3" max="3" width="28.6640625" customWidth="1"/>
    <col min="4" max="4" width="13.83203125" customWidth="1"/>
    <col min="5" max="5" width="27" customWidth="1"/>
    <col min="7" max="7" width="23.83203125" customWidth="1"/>
    <col min="9" max="9" width="21.83203125" customWidth="1"/>
    <col min="11" max="11" width="39.1640625" customWidth="1"/>
    <col min="14" max="14" width="37.83203125" customWidth="1"/>
  </cols>
  <sheetData>
    <row r="1" spans="1:16" ht="19" x14ac:dyDescent="0.25">
      <c r="A1" s="23"/>
      <c r="B1" s="23"/>
      <c r="C1" s="24" t="s">
        <v>83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9" x14ac:dyDescent="0.25">
      <c r="A2" s="23"/>
      <c r="B2" s="38" t="s">
        <v>81</v>
      </c>
      <c r="C2" s="38" t="s">
        <v>82</v>
      </c>
      <c r="D2" s="24"/>
      <c r="E2" s="38" t="s">
        <v>84</v>
      </c>
      <c r="F2" s="24"/>
      <c r="G2" s="38" t="s">
        <v>85</v>
      </c>
      <c r="H2" s="24"/>
      <c r="I2" s="38" t="s">
        <v>86</v>
      </c>
      <c r="J2" s="24"/>
      <c r="K2" s="38" t="s">
        <v>87</v>
      </c>
      <c r="L2" s="24"/>
      <c r="M2" s="24"/>
      <c r="N2" s="38" t="s">
        <v>88</v>
      </c>
      <c r="O2" s="24"/>
      <c r="P2" s="24"/>
    </row>
    <row r="3" spans="1:16" ht="19" x14ac:dyDescent="0.25">
      <c r="A3" s="24" t="s">
        <v>73</v>
      </c>
      <c r="B3" s="25">
        <v>1902.9</v>
      </c>
      <c r="C3" s="26">
        <v>38.56</v>
      </c>
      <c r="D3" s="27"/>
      <c r="E3" s="27">
        <f>C3*ASSUMPTIONS!B4</f>
        <v>44.729599999999998</v>
      </c>
      <c r="F3" s="27"/>
      <c r="G3" s="26">
        <v>7139</v>
      </c>
      <c r="H3" s="27"/>
      <c r="I3" s="27">
        <f>G3*ASSUMPTIONS!B4</f>
        <v>8281.24</v>
      </c>
      <c r="J3" s="27"/>
      <c r="K3" s="26">
        <v>66933</v>
      </c>
      <c r="L3" s="27"/>
      <c r="M3" s="27"/>
      <c r="N3" s="27">
        <f>K3*ASSUMPTIONS!B4</f>
        <v>77642.28</v>
      </c>
      <c r="O3" s="23"/>
      <c r="P3" s="23"/>
    </row>
    <row r="4" spans="1:16" ht="19" x14ac:dyDescent="0.25">
      <c r="A4" s="24" t="s">
        <v>74</v>
      </c>
      <c r="B4" s="28">
        <v>1129.4000000000001</v>
      </c>
      <c r="C4" s="26">
        <v>92.52</v>
      </c>
      <c r="D4" s="27"/>
      <c r="E4" s="27">
        <f>C4*ASSUMPTIONS!B4</f>
        <v>107.32319999999999</v>
      </c>
      <c r="F4" s="27"/>
      <c r="G4" s="26">
        <v>12225</v>
      </c>
      <c r="H4" s="27"/>
      <c r="I4" s="27">
        <f>G4*ASSUMPTIONS!B4</f>
        <v>14180.999999999998</v>
      </c>
      <c r="J4" s="27"/>
      <c r="K4" s="26">
        <v>125513</v>
      </c>
      <c r="L4" s="27"/>
      <c r="M4" s="27"/>
      <c r="N4" s="27">
        <f>K4*ASSUMPTIONS!B4</f>
        <v>145595.07999999999</v>
      </c>
      <c r="O4" s="23"/>
      <c r="P4" s="23"/>
    </row>
    <row r="5" spans="1:16" ht="19" x14ac:dyDescent="0.25">
      <c r="A5" s="24" t="s">
        <v>75</v>
      </c>
      <c r="B5" s="26">
        <v>2902</v>
      </c>
      <c r="C5" s="26">
        <v>24.01</v>
      </c>
      <c r="D5" s="27"/>
      <c r="E5" s="27">
        <f>C5*ASSUMPTIONS!B4</f>
        <v>27.851600000000001</v>
      </c>
      <c r="F5" s="27"/>
      <c r="G5" s="26">
        <v>6300</v>
      </c>
      <c r="H5" s="27"/>
      <c r="I5" s="27">
        <f>G5*ASSUMPTIONS!B4</f>
        <v>7307.9999999999991</v>
      </c>
      <c r="J5" s="27"/>
      <c r="K5" s="26">
        <v>49698</v>
      </c>
      <c r="L5" s="27"/>
      <c r="M5" s="27"/>
      <c r="N5" s="27">
        <f>K5*ASSUMPTIONS!B4</f>
        <v>57649.679999999993</v>
      </c>
      <c r="O5" s="23"/>
      <c r="P5" s="23"/>
    </row>
    <row r="6" spans="1:16" ht="19" x14ac:dyDescent="0.25">
      <c r="A6" s="24" t="s">
        <v>76</v>
      </c>
      <c r="B6" s="26">
        <v>1512.8</v>
      </c>
      <c r="C6" s="26">
        <v>70.92</v>
      </c>
      <c r="D6" s="27"/>
      <c r="E6" s="27">
        <f>C6*ASSUMPTIONS!B4</f>
        <v>82.267200000000003</v>
      </c>
      <c r="F6" s="27"/>
      <c r="G6" s="29">
        <v>11022</v>
      </c>
      <c r="H6" s="27"/>
      <c r="I6" s="27">
        <f>G6*ASSUMPTIONS!B4</f>
        <v>12785.519999999999</v>
      </c>
      <c r="J6" s="27"/>
      <c r="K6" s="26">
        <v>67711</v>
      </c>
      <c r="L6" s="27"/>
      <c r="M6" s="27"/>
      <c r="N6" s="27">
        <f>K6*ASSUMPTIONS!B4</f>
        <v>78544.759999999995</v>
      </c>
      <c r="O6" s="23"/>
      <c r="P6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CD7E-AD26-DB4A-8D44-4B686975840B}">
  <dimension ref="A1:I35"/>
  <sheetViews>
    <sheetView tabSelected="1" zoomScale="125" workbookViewId="0">
      <selection activeCell="B15" sqref="B15"/>
    </sheetView>
  </sheetViews>
  <sheetFormatPr baseColWidth="10" defaultRowHeight="16" x14ac:dyDescent="0.2"/>
  <cols>
    <col min="1" max="1" width="28.83203125" customWidth="1"/>
    <col min="4" max="4" width="23.6640625" customWidth="1"/>
    <col min="6" max="6" width="15" customWidth="1"/>
  </cols>
  <sheetData>
    <row r="1" spans="1:9" x14ac:dyDescent="0.2">
      <c r="A1" s="13" t="s">
        <v>27</v>
      </c>
    </row>
    <row r="2" spans="1:9" x14ac:dyDescent="0.2">
      <c r="A2" t="s">
        <v>28</v>
      </c>
    </row>
    <row r="4" spans="1:9" x14ac:dyDescent="0.2">
      <c r="A4" s="30" t="s">
        <v>29</v>
      </c>
      <c r="D4" s="30" t="s">
        <v>34</v>
      </c>
      <c r="E4" s="30"/>
      <c r="F4" s="30" t="s">
        <v>38</v>
      </c>
      <c r="G4" s="30">
        <v>2026</v>
      </c>
      <c r="H4" s="30">
        <v>2027</v>
      </c>
      <c r="I4" s="30">
        <v>2028</v>
      </c>
    </row>
    <row r="5" spans="1:9" x14ac:dyDescent="0.2">
      <c r="A5" t="s">
        <v>30</v>
      </c>
      <c r="B5" s="22">
        <f>ASSUMPTIONS!B20/1000</f>
        <v>57.458227200000003</v>
      </c>
      <c r="D5" t="s">
        <v>35</v>
      </c>
      <c r="E5" s="15">
        <f>ASSUMPTIONS!B26</f>
        <v>1212.4546782021523</v>
      </c>
      <c r="F5" s="15"/>
      <c r="G5" s="15"/>
      <c r="H5" s="15"/>
      <c r="I5" s="15"/>
    </row>
    <row r="6" spans="1:9" x14ac:dyDescent="0.2">
      <c r="A6" t="s">
        <v>19</v>
      </c>
      <c r="B6" s="19">
        <f>ASSUMPTIONS!B23</f>
        <v>1</v>
      </c>
      <c r="D6" t="s">
        <v>36</v>
      </c>
      <c r="E6" s="15">
        <f>B8+50</f>
        <v>2300</v>
      </c>
      <c r="F6" s="15"/>
      <c r="G6" s="15"/>
      <c r="H6" s="15"/>
      <c r="I6" s="15"/>
    </row>
    <row r="7" spans="1:9" x14ac:dyDescent="0.2">
      <c r="A7" t="s">
        <v>20</v>
      </c>
      <c r="B7" s="19">
        <f>ASSUMPTIONS!B24</f>
        <v>0</v>
      </c>
      <c r="D7" t="s">
        <v>37</v>
      </c>
      <c r="E7" s="21">
        <v>4.4999999999999998E-2</v>
      </c>
      <c r="F7" s="15"/>
      <c r="G7" s="15"/>
      <c r="H7" s="15"/>
      <c r="I7" s="15"/>
    </row>
    <row r="8" spans="1:9" x14ac:dyDescent="0.2">
      <c r="A8" t="s">
        <v>31</v>
      </c>
      <c r="B8" s="15">
        <f>ASSUMPTIONS!B35</f>
        <v>2250</v>
      </c>
      <c r="E8" s="15"/>
      <c r="F8" s="15"/>
      <c r="G8" s="15"/>
      <c r="H8" s="15"/>
      <c r="I8" s="15"/>
    </row>
    <row r="9" spans="1:9" x14ac:dyDescent="0.2">
      <c r="A9" t="s">
        <v>32</v>
      </c>
      <c r="B9" s="15">
        <f>ASSUMPTIONS!B34</f>
        <v>1.5</v>
      </c>
      <c r="E9" s="15"/>
      <c r="F9" s="15"/>
      <c r="G9" s="15"/>
      <c r="H9" s="15"/>
      <c r="I9" s="15"/>
    </row>
    <row r="10" spans="1:9" x14ac:dyDescent="0.2">
      <c r="A10" t="s">
        <v>33</v>
      </c>
      <c r="B10" s="19">
        <f>ASSUMPTIONS!B31</f>
        <v>0.22</v>
      </c>
      <c r="E10" s="15"/>
      <c r="F10" s="15"/>
      <c r="G10" s="15"/>
      <c r="H10" s="15"/>
      <c r="I10" s="15"/>
    </row>
    <row r="11" spans="1:9" x14ac:dyDescent="0.2">
      <c r="B11" s="15"/>
      <c r="E11" s="15"/>
      <c r="F11" s="15"/>
      <c r="G11" s="15"/>
      <c r="H11" s="15"/>
      <c r="I11" s="15"/>
    </row>
    <row r="12" spans="1:9" x14ac:dyDescent="0.2">
      <c r="A12" t="s">
        <v>39</v>
      </c>
      <c r="B12" s="15"/>
      <c r="E12" s="15"/>
      <c r="F12" s="15"/>
      <c r="G12" s="15">
        <f>'UBS STANDALONE'!B4</f>
        <v>7200</v>
      </c>
      <c r="H12" s="15">
        <f>'UBS STANDALONE'!B5</f>
        <v>7500</v>
      </c>
      <c r="I12" s="15">
        <f>'UBS STANDALONE'!B6</f>
        <v>7800</v>
      </c>
    </row>
    <row r="13" spans="1:9" x14ac:dyDescent="0.2">
      <c r="A13" t="s">
        <v>40</v>
      </c>
      <c r="B13" s="15"/>
      <c r="E13" s="15"/>
      <c r="F13" s="15"/>
      <c r="G13" s="15">
        <f>'CBK STANDALONE'!B5</f>
        <v>2836</v>
      </c>
      <c r="H13" s="15">
        <f>'CBK STANDALONE'!B6</f>
        <v>2922</v>
      </c>
      <c r="I13" s="15">
        <f>'CBK STANDALONE'!B7</f>
        <v>3009</v>
      </c>
    </row>
    <row r="14" spans="1:9" x14ac:dyDescent="0.2">
      <c r="A14" t="s">
        <v>41</v>
      </c>
      <c r="B14" s="15"/>
      <c r="E14" s="15"/>
      <c r="F14" s="15"/>
      <c r="G14" s="15">
        <f>B8/B9*ASSUMPTIONS!B36</f>
        <v>900</v>
      </c>
      <c r="H14" s="15">
        <f>B8/B9*85%</f>
        <v>1275</v>
      </c>
      <c r="I14" s="15">
        <f>B8/B9*100%</f>
        <v>1500</v>
      </c>
    </row>
    <row r="15" spans="1:9" x14ac:dyDescent="0.2">
      <c r="A15" t="s">
        <v>42</v>
      </c>
      <c r="B15" s="15"/>
      <c r="E15" s="15"/>
      <c r="F15" s="15"/>
      <c r="G15" s="22">
        <f>B8/3</f>
        <v>750</v>
      </c>
      <c r="H15" s="22">
        <f>B8/3</f>
        <v>750</v>
      </c>
      <c r="I15" s="22">
        <f>B8/3</f>
        <v>750</v>
      </c>
    </row>
    <row r="16" spans="1:9" x14ac:dyDescent="0.2">
      <c r="A16" t="s">
        <v>43</v>
      </c>
      <c r="B16" s="15"/>
      <c r="E16" s="15"/>
      <c r="F16" s="15"/>
      <c r="G16" s="31">
        <f>$E$6*$E$7</f>
        <v>103.5</v>
      </c>
      <c r="H16" s="31">
        <f>$E$6*$E$7</f>
        <v>103.5</v>
      </c>
      <c r="I16" s="31">
        <f>$E$6*$E$7</f>
        <v>103.5</v>
      </c>
    </row>
    <row r="17" spans="1:9" x14ac:dyDescent="0.2">
      <c r="A17" t="s">
        <v>44</v>
      </c>
      <c r="B17" s="15"/>
      <c r="E17" s="15"/>
      <c r="F17" s="15"/>
      <c r="G17" s="32">
        <f>G12+G13+G14-G15-G16</f>
        <v>10082.5</v>
      </c>
      <c r="H17" s="32">
        <f t="shared" ref="H17:I17" si="0">H12+H13+H14-H15-H16</f>
        <v>10843.5</v>
      </c>
      <c r="I17" s="32">
        <f t="shared" si="0"/>
        <v>11455.5</v>
      </c>
    </row>
    <row r="18" spans="1:9" x14ac:dyDescent="0.2">
      <c r="A18" t="s">
        <v>45</v>
      </c>
      <c r="B18" s="15"/>
      <c r="E18" s="15"/>
      <c r="F18" s="15"/>
      <c r="G18" s="31">
        <f>G17*$B$10</f>
        <v>2218.15</v>
      </c>
      <c r="H18" s="31">
        <f t="shared" ref="H18:I18" si="1">H17*$B$10</f>
        <v>2385.5700000000002</v>
      </c>
      <c r="I18" s="31">
        <f t="shared" si="1"/>
        <v>2520.21</v>
      </c>
    </row>
    <row r="19" spans="1:9" x14ac:dyDescent="0.2">
      <c r="A19" t="s">
        <v>46</v>
      </c>
      <c r="B19" s="15"/>
      <c r="E19" s="15"/>
      <c r="F19" s="15"/>
      <c r="G19" s="32">
        <f>G17-G18</f>
        <v>7864.35</v>
      </c>
      <c r="H19" s="32">
        <f t="shared" ref="H19:I19" si="2">H17-H18</f>
        <v>8457.93</v>
      </c>
      <c r="I19" s="32">
        <f t="shared" si="2"/>
        <v>8935.2900000000009</v>
      </c>
    </row>
    <row r="20" spans="1:9" x14ac:dyDescent="0.2">
      <c r="B20" s="15"/>
      <c r="E20" s="15"/>
      <c r="F20" s="15"/>
      <c r="G20" s="15"/>
      <c r="H20" s="15"/>
      <c r="I20" s="15"/>
    </row>
    <row r="21" spans="1:9" x14ac:dyDescent="0.2">
      <c r="A21" t="s">
        <v>47</v>
      </c>
      <c r="B21" s="15"/>
      <c r="E21" s="15"/>
      <c r="F21" s="15"/>
      <c r="G21" s="15">
        <f>'UBS STANDALONE'!B4</f>
        <v>7200</v>
      </c>
      <c r="H21" s="15">
        <f>'UBS STANDALONE'!B5</f>
        <v>7500</v>
      </c>
      <c r="I21" s="15">
        <f>'UBS STANDALONE'!B6</f>
        <v>7800</v>
      </c>
    </row>
    <row r="22" spans="1:9" x14ac:dyDescent="0.2">
      <c r="A22" t="s">
        <v>48</v>
      </c>
      <c r="B22" s="15"/>
      <c r="E22" s="15"/>
      <c r="F22" s="15"/>
      <c r="G22" s="15">
        <v>3185</v>
      </c>
      <c r="H22" s="15">
        <v>3185</v>
      </c>
      <c r="I22" s="15">
        <v>3185</v>
      </c>
    </row>
    <row r="23" spans="1:9" x14ac:dyDescent="0.2">
      <c r="A23" t="s">
        <v>49</v>
      </c>
      <c r="B23" s="15"/>
      <c r="E23" s="15"/>
      <c r="F23" s="15"/>
      <c r="G23" s="15">
        <f>$E$5</f>
        <v>1212.4546782021523</v>
      </c>
      <c r="H23" s="15">
        <f t="shared" ref="H23:I23" si="3">$E$5</f>
        <v>1212.4546782021523</v>
      </c>
      <c r="I23" s="15">
        <f t="shared" si="3"/>
        <v>1212.4546782021523</v>
      </c>
    </row>
    <row r="24" spans="1:9" x14ac:dyDescent="0.2">
      <c r="A24" t="s">
        <v>50</v>
      </c>
      <c r="B24" s="15"/>
      <c r="E24" s="15"/>
      <c r="F24" s="15"/>
      <c r="G24" s="15">
        <f>G22+G23</f>
        <v>4397.4546782021525</v>
      </c>
      <c r="H24" s="15">
        <f t="shared" ref="H24:I24" si="4">H22+H23</f>
        <v>4397.4546782021525</v>
      </c>
      <c r="I24" s="15">
        <f t="shared" si="4"/>
        <v>4397.4546782021525</v>
      </c>
    </row>
    <row r="25" spans="1:9" x14ac:dyDescent="0.2">
      <c r="B25" s="15"/>
      <c r="E25" s="15"/>
      <c r="F25" s="15"/>
      <c r="G25" s="15"/>
      <c r="H25" s="15"/>
      <c r="I25" s="15"/>
    </row>
    <row r="26" spans="1:9" x14ac:dyDescent="0.2">
      <c r="A26" t="s">
        <v>51</v>
      </c>
      <c r="B26" s="15"/>
      <c r="E26" s="15"/>
      <c r="F26" s="15"/>
      <c r="G26" s="22">
        <f>G19/G24</f>
        <v>1.7883868227188295</v>
      </c>
      <c r="H26" s="22">
        <f>H19/H24</f>
        <v>1.9233694532260479</v>
      </c>
      <c r="I26" s="22">
        <f>I19/I24</f>
        <v>2.031923158706229</v>
      </c>
    </row>
    <row r="27" spans="1:9" x14ac:dyDescent="0.2">
      <c r="A27" t="s">
        <v>52</v>
      </c>
      <c r="B27" s="15"/>
      <c r="E27" s="15"/>
      <c r="F27" s="15"/>
      <c r="G27" s="22">
        <f>G12/G22</f>
        <v>2.2605965463108322</v>
      </c>
      <c r="H27" s="22">
        <f>H12/H22</f>
        <v>2.3547880690737832</v>
      </c>
      <c r="I27" s="22">
        <f>I12/I22</f>
        <v>2.4489795918367347</v>
      </c>
    </row>
    <row r="28" spans="1:9" x14ac:dyDescent="0.2">
      <c r="A28" t="s">
        <v>53</v>
      </c>
      <c r="B28" s="15"/>
      <c r="E28" s="15"/>
      <c r="F28" s="15"/>
      <c r="G28" s="22">
        <f>G26-G27</f>
        <v>-0.47220972359200264</v>
      </c>
      <c r="H28" s="22">
        <f>H26-H27</f>
        <v>-0.43141861584773533</v>
      </c>
      <c r="I28" s="22">
        <f>I26-I27</f>
        <v>-0.41705643313050578</v>
      </c>
    </row>
    <row r="29" spans="1:9" x14ac:dyDescent="0.2">
      <c r="A29" t="s">
        <v>54</v>
      </c>
      <c r="B29" s="15"/>
      <c r="E29" s="15"/>
      <c r="F29" s="15"/>
      <c r="G29" s="20">
        <f>G28/G27</f>
        <v>-0.20888721800562893</v>
      </c>
      <c r="H29" s="20">
        <f>H28/H27</f>
        <v>-0.18320910553000494</v>
      </c>
      <c r="I29" s="20">
        <f>I28/I27</f>
        <v>-0.17029804352828987</v>
      </c>
    </row>
    <row r="30" spans="1:9" x14ac:dyDescent="0.2">
      <c r="B30" s="15"/>
    </row>
    <row r="31" spans="1:9" x14ac:dyDescent="0.2">
      <c r="A31" s="30" t="s">
        <v>58</v>
      </c>
      <c r="B31" s="15"/>
    </row>
    <row r="32" spans="1:9" x14ac:dyDescent="0.2">
      <c r="A32" t="s">
        <v>30</v>
      </c>
      <c r="B32" s="22">
        <f>B5</f>
        <v>57.458227200000003</v>
      </c>
    </row>
    <row r="33" spans="1:2" x14ac:dyDescent="0.2">
      <c r="A33" t="s">
        <v>59</v>
      </c>
      <c r="B33" s="20">
        <f>G29</f>
        <v>-0.20888721800562893</v>
      </c>
    </row>
    <row r="34" spans="1:2" x14ac:dyDescent="0.2">
      <c r="A34" t="s">
        <v>60</v>
      </c>
      <c r="B34" s="20">
        <f>I29</f>
        <v>-0.17029804352828987</v>
      </c>
    </row>
    <row r="35" spans="1:2" x14ac:dyDescent="0.2">
      <c r="A35" t="s">
        <v>61</v>
      </c>
      <c r="B35" s="1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COVER&amp;READ ME</vt:lpstr>
      <vt:lpstr>ASSUMPTIONS</vt:lpstr>
      <vt:lpstr>UBS STANDALONE</vt:lpstr>
      <vt:lpstr>CBK STANDALONE</vt:lpstr>
      <vt:lpstr>CCA COMPS</vt:lpstr>
      <vt:lpstr>DATA SOURCES</vt:lpstr>
      <vt:lpstr>M&amp;A 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trishala singh</dc:creator>
  <cp:lastModifiedBy>trishala singh</cp:lastModifiedBy>
  <dcterms:created xsi:type="dcterms:W3CDTF">2026-05-26T03:59:48Z</dcterms:created>
  <dcterms:modified xsi:type="dcterms:W3CDTF">2026-06-23T09:42:30Z</dcterms:modified>
</cp:coreProperties>
</file>