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trishalasingh/Documents/"/>
    </mc:Choice>
  </mc:AlternateContent>
  <xr:revisionPtr revIDLastSave="0" documentId="13_ncr:1_{65799364-7673-9548-8C7B-A279CEA9C497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DCF" sheetId="7" r:id="rId1"/>
    <sheet name="CCM" sheetId="8" r:id="rId2"/>
    <sheet name="Data Sheet" sheetId="6" r:id="rId3"/>
  </sheets>
  <definedNames>
    <definedName name="tax_rate">DCF!$B$60</definedName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99" i="7" l="1"/>
  <c r="B135" i="7"/>
  <c r="B133" i="7"/>
  <c r="B107" i="7"/>
  <c r="A143" i="7" s="1"/>
  <c r="C56" i="7"/>
  <c r="B100" i="7"/>
  <c r="B96" i="7"/>
  <c r="B92" i="7"/>
  <c r="B93" i="7" s="1"/>
  <c r="B91" i="7"/>
  <c r="B88" i="7"/>
  <c r="B89" i="7" s="1"/>
  <c r="D17" i="8"/>
  <c r="E17" i="8"/>
  <c r="E16" i="8"/>
  <c r="G16" i="8"/>
  <c r="D16" i="8"/>
  <c r="G12" i="8"/>
  <c r="G13" i="8"/>
  <c r="G14" i="8"/>
  <c r="G15" i="8"/>
  <c r="G17" i="8" s="1"/>
  <c r="F12" i="8"/>
  <c r="F13" i="8"/>
  <c r="F14" i="8"/>
  <c r="H14" i="8" s="1"/>
  <c r="F15" i="8"/>
  <c r="E13" i="8"/>
  <c r="E14" i="8"/>
  <c r="E15" i="8"/>
  <c r="E12" i="8"/>
  <c r="D12" i="8"/>
  <c r="D13" i="8"/>
  <c r="D14" i="8"/>
  <c r="D15" i="8"/>
  <c r="C12" i="8"/>
  <c r="C13" i="8"/>
  <c r="C14" i="8"/>
  <c r="C15" i="8"/>
  <c r="B13" i="8"/>
  <c r="B14" i="8"/>
  <c r="B15" i="8"/>
  <c r="B12" i="8"/>
  <c r="A144" i="7" l="1"/>
  <c r="A145" i="7" s="1"/>
  <c r="A142" i="7"/>
  <c r="A141" i="7" s="1"/>
  <c r="B130" i="7"/>
  <c r="H15" i="8"/>
  <c r="H13" i="8"/>
  <c r="H12" i="8"/>
  <c r="F17" i="8"/>
  <c r="H17" i="8"/>
  <c r="B101" i="7" s="1"/>
  <c r="B102" i="7" s="1"/>
  <c r="F16" i="8"/>
  <c r="H16" i="8" l="1"/>
  <c r="I87" i="6" l="1"/>
  <c r="J87" i="6"/>
  <c r="K87" i="6"/>
  <c r="H87" i="6"/>
  <c r="G87" i="6"/>
  <c r="K86" i="6"/>
  <c r="H86" i="6"/>
  <c r="I86" i="6"/>
  <c r="J86" i="6"/>
  <c r="G86" i="6"/>
  <c r="B55" i="7" l="1"/>
  <c r="B54" i="7"/>
  <c r="C66" i="7" l="1"/>
  <c r="B67" i="7"/>
  <c r="B68" i="7" s="1"/>
  <c r="C68" i="7" s="1"/>
  <c r="D68" i="7" s="1"/>
  <c r="E68" i="7" s="1"/>
  <c r="F68" i="7" s="1"/>
  <c r="C43" i="7"/>
  <c r="D43" i="7"/>
  <c r="E43" i="7"/>
  <c r="F43" i="7"/>
  <c r="B131" i="7" s="1"/>
  <c r="C42" i="7"/>
  <c r="D42" i="7"/>
  <c r="E42" i="7"/>
  <c r="F42" i="7"/>
  <c r="C38" i="7"/>
  <c r="D38" i="7"/>
  <c r="E38" i="7"/>
  <c r="F38" i="7"/>
  <c r="C37" i="7"/>
  <c r="D37" i="7"/>
  <c r="E37" i="7"/>
  <c r="F37" i="7"/>
  <c r="C36" i="7"/>
  <c r="D36" i="7"/>
  <c r="E36" i="7"/>
  <c r="F36" i="7"/>
  <c r="F35" i="7"/>
  <c r="C35" i="7"/>
  <c r="D35" i="7"/>
  <c r="E35" i="7"/>
  <c r="C32" i="7"/>
  <c r="D32" i="7"/>
  <c r="E32" i="7"/>
  <c r="F32" i="7"/>
  <c r="C31" i="7"/>
  <c r="D31" i="7"/>
  <c r="E31" i="7"/>
  <c r="F31" i="7"/>
  <c r="C29" i="7"/>
  <c r="D29" i="7"/>
  <c r="E29" i="7"/>
  <c r="F29" i="7"/>
  <c r="B43" i="7"/>
  <c r="B42" i="7"/>
  <c r="B38" i="7"/>
  <c r="B37" i="7"/>
  <c r="B36" i="7"/>
  <c r="B35" i="7"/>
  <c r="B32" i="7"/>
  <c r="B31" i="7"/>
  <c r="B29" i="7"/>
  <c r="C28" i="7"/>
  <c r="D28" i="7"/>
  <c r="E28" i="7"/>
  <c r="F28" i="7"/>
  <c r="B28" i="7"/>
  <c r="C22" i="7"/>
  <c r="D22" i="7"/>
  <c r="E22" i="7"/>
  <c r="F22" i="7"/>
  <c r="B22" i="7"/>
  <c r="C21" i="7"/>
  <c r="D21" i="7"/>
  <c r="E21" i="7"/>
  <c r="F21" i="7"/>
  <c r="B21" i="7"/>
  <c r="C20" i="7"/>
  <c r="D20" i="7"/>
  <c r="E20" i="7"/>
  <c r="F20" i="7"/>
  <c r="B20" i="7"/>
  <c r="C19" i="7"/>
  <c r="D19" i="7"/>
  <c r="E19" i="7"/>
  <c r="F19" i="7"/>
  <c r="B19" i="7"/>
  <c r="C18" i="7"/>
  <c r="D18" i="7"/>
  <c r="E18" i="7"/>
  <c r="F18" i="7"/>
  <c r="B95" i="7" s="1"/>
  <c r="B97" i="7" s="1"/>
  <c r="B103" i="7" s="1"/>
  <c r="B18" i="7"/>
  <c r="C13" i="7"/>
  <c r="D13" i="7"/>
  <c r="E13" i="7"/>
  <c r="F13" i="7"/>
  <c r="B13" i="7"/>
  <c r="C8" i="7"/>
  <c r="D8" i="7"/>
  <c r="E8" i="7"/>
  <c r="F8" i="7"/>
  <c r="B8" i="7"/>
  <c r="C7" i="7"/>
  <c r="D7" i="7"/>
  <c r="E7" i="7"/>
  <c r="F7" i="7"/>
  <c r="B7" i="7"/>
  <c r="C6" i="7"/>
  <c r="D6" i="7"/>
  <c r="E6" i="7"/>
  <c r="F6" i="7"/>
  <c r="B6" i="7"/>
  <c r="C5" i="7"/>
  <c r="D5" i="7"/>
  <c r="E5" i="7"/>
  <c r="F5" i="7"/>
  <c r="B5" i="7"/>
  <c r="C4" i="7"/>
  <c r="D4" i="7"/>
  <c r="E4" i="7"/>
  <c r="F4" i="7"/>
  <c r="B4" i="7"/>
  <c r="C3" i="7"/>
  <c r="D3" i="7"/>
  <c r="E3" i="7"/>
  <c r="F3" i="7"/>
  <c r="B3" i="7"/>
  <c r="B6" i="6"/>
  <c r="E1" i="6"/>
  <c r="C30" i="7" l="1"/>
  <c r="B14" i="7"/>
  <c r="B44" i="7"/>
  <c r="C33" i="7"/>
  <c r="E140" i="7"/>
  <c r="E115" i="7"/>
  <c r="D115" i="7"/>
  <c r="B115" i="7"/>
  <c r="F115" i="7"/>
  <c r="C115" i="7"/>
  <c r="G115" i="7"/>
  <c r="C14" i="7"/>
  <c r="F14" i="7"/>
  <c r="F30" i="7"/>
  <c r="F33" i="7" s="1"/>
  <c r="F39" i="7"/>
  <c r="F9" i="7"/>
  <c r="F10" i="7" s="1"/>
  <c r="E9" i="7"/>
  <c r="E10" i="7" s="1"/>
  <c r="E15" i="7" s="1"/>
  <c r="E16" i="7" s="1"/>
  <c r="E30" i="7"/>
  <c r="E33" i="7" s="1"/>
  <c r="E39" i="7"/>
  <c r="E14" i="7"/>
  <c r="D14" i="7"/>
  <c r="D9" i="7"/>
  <c r="D10" i="7" s="1"/>
  <c r="D30" i="7"/>
  <c r="D33" i="7" s="1"/>
  <c r="F44" i="7"/>
  <c r="D39" i="7"/>
  <c r="C39" i="7"/>
  <c r="G21" i="7"/>
  <c r="C44" i="7"/>
  <c r="C9" i="7"/>
  <c r="C10" i="7" s="1"/>
  <c r="B9" i="7"/>
  <c r="B10" i="7" s="1"/>
  <c r="E44" i="7"/>
  <c r="D44" i="7"/>
  <c r="B30" i="7"/>
  <c r="B33" i="7" s="1"/>
  <c r="B39" i="7"/>
  <c r="G3" i="7"/>
  <c r="B69" i="7"/>
  <c r="C69" i="7" s="1"/>
  <c r="D69" i="7" s="1"/>
  <c r="E69" i="7" s="1"/>
  <c r="F69" i="7" s="1"/>
  <c r="C67" i="7"/>
  <c r="D67" i="7" s="1"/>
  <c r="E67" i="7" s="1"/>
  <c r="F67" i="7" s="1"/>
  <c r="C45" i="7" l="1"/>
  <c r="D140" i="7"/>
  <c r="C140" i="7" s="1"/>
  <c r="B140" i="7" s="1"/>
  <c r="F140" i="7"/>
  <c r="G140" i="7" s="1"/>
  <c r="F45" i="7"/>
  <c r="B45" i="7"/>
  <c r="D45" i="7"/>
  <c r="E45" i="7"/>
  <c r="E11" i="7"/>
  <c r="B11" i="7"/>
  <c r="B15" i="7"/>
  <c r="B16" i="7" s="1"/>
  <c r="D11" i="7"/>
  <c r="D15" i="7"/>
  <c r="D16" i="7" s="1"/>
  <c r="F11" i="7"/>
  <c r="B75" i="7" s="1"/>
  <c r="C75" i="7" s="1"/>
  <c r="D75" i="7" s="1"/>
  <c r="E75" i="7" s="1"/>
  <c r="F75" i="7" s="1"/>
  <c r="G10" i="7"/>
  <c r="F15" i="7"/>
  <c r="F16" i="7" s="1"/>
  <c r="C15" i="7"/>
  <c r="C16" i="7" s="1"/>
  <c r="C11" i="7"/>
  <c r="B64" i="7" a="1"/>
  <c r="B64" i="7" s="1"/>
  <c r="B65" i="7" s="1"/>
  <c r="C65" i="7" l="1"/>
  <c r="B74" i="7"/>
  <c r="B82" i="7" s="1"/>
  <c r="B76" i="7" l="1"/>
  <c r="B77" i="7"/>
  <c r="B81" i="7" s="1"/>
  <c r="D65" i="7"/>
  <c r="C74" i="7"/>
  <c r="C82" i="7" s="1"/>
  <c r="C76" i="7" l="1"/>
  <c r="C77" i="7"/>
  <c r="C81" i="7" s="1"/>
  <c r="B78" i="7"/>
  <c r="E65" i="7"/>
  <c r="D74" i="7"/>
  <c r="D82" i="7" s="1"/>
  <c r="D76" i="7" l="1"/>
  <c r="D77" i="7"/>
  <c r="D81" i="7" s="1"/>
  <c r="B79" i="7"/>
  <c r="B80" i="7" s="1"/>
  <c r="B83" i="7" s="1"/>
  <c r="B114" i="7" s="1"/>
  <c r="B116" i="7" s="1"/>
  <c r="C78" i="7"/>
  <c r="F65" i="7"/>
  <c r="F74" i="7" s="1"/>
  <c r="F82" i="7" s="1"/>
  <c r="E74" i="7"/>
  <c r="E82" i="7" s="1"/>
  <c r="F76" i="7" l="1"/>
  <c r="F77" i="7"/>
  <c r="F81" i="7" s="1"/>
  <c r="E76" i="7"/>
  <c r="E77" i="7"/>
  <c r="E81" i="7" s="1"/>
  <c r="C79" i="7"/>
  <c r="C80" i="7" s="1"/>
  <c r="C83" i="7" s="1"/>
  <c r="C114" i="7" s="1"/>
  <c r="C116" i="7" s="1"/>
  <c r="D78" i="7"/>
  <c r="D79" i="7" l="1"/>
  <c r="D80" i="7" s="1"/>
  <c r="D83" i="7" s="1"/>
  <c r="D114" i="7" s="1"/>
  <c r="D116" i="7" s="1"/>
  <c r="E78" i="7"/>
  <c r="F78" i="7"/>
  <c r="F79" i="7" l="1"/>
  <c r="F80" i="7" s="1"/>
  <c r="F83" i="7" s="1"/>
  <c r="E79" i="7"/>
  <c r="E80" i="7" s="1"/>
  <c r="E83" i="7" s="1"/>
  <c r="E114" i="7" s="1"/>
  <c r="E116" i="7" s="1"/>
  <c r="B106" i="7" l="1"/>
  <c r="B109" i="7" s="1"/>
  <c r="G114" i="7" s="1"/>
  <c r="G116" i="7" s="1"/>
  <c r="F114" i="7"/>
  <c r="F116" i="7" s="1"/>
  <c r="A124" i="7" l="1"/>
  <c r="A121" i="7"/>
  <c r="A127" i="7" l="1"/>
  <c r="B129" i="7" s="1"/>
  <c r="B132" i="7" s="1"/>
  <c r="B134" i="7" s="1"/>
  <c r="B136" i="7" s="1"/>
  <c r="A140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<sst xmlns="http://schemas.openxmlformats.org/spreadsheetml/2006/main" count="262" uniqueCount="228">
  <si>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</si>
  <si>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</si>
  <si>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</si>
  <si>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</si>
  <si>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</si>
  <si>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</si>
  <si>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</si>
  <si>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</si>
  <si>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</si>
  <si>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</si>
  <si>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</si>
  <si>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</si>
  <si>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</si>
  <si>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</si>
  <si>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</si>
  <si>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</si>
  <si>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</si>
  <si>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</si>
  <si>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</si>
  <si>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</si>
  <si>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</si>
  <si>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</si>
  <si>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</si>
  <si>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</si>
  <si>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</si>
  <si>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</si>
  <si>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</si>
  <si>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</si>
  <si>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</si>
  <si>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</si>
  <si>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</si>
  <si>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</si>
  <si>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INFOSYS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</si>
  <si>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</si>
  <si>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</si>
  <si>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</si>
  <si>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</si>
  <si>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</si>
  <si>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</si>
  <si>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</si>
  <si>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</si>
  <si>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</si>
  <si>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</si>
  <si>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</si>
  <si>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</si>
  <si>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</si>
  <si>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</si>
  <si>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</si>
  <si>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</si>
  <si>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</si>
  <si>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</si>
  <si>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</si>
  <si>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</si>
  <si>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</si>
  <si>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INCOME STATEMENT (CRORES)</t>
  </si>
  <si>
    <t>PARTICULARS</t>
  </si>
  <si>
    <t>FY 2021</t>
  </si>
  <si>
    <t>FY 2022</t>
  </si>
  <si>
    <t>FY 2023</t>
  </si>
  <si>
    <t>FY 2024</t>
  </si>
  <si>
    <t xml:space="preserve">FY 2025 </t>
  </si>
  <si>
    <t>Revenue from operations</t>
  </si>
  <si>
    <t>Employee cost</t>
  </si>
  <si>
    <t>Power &amp; fuel</t>
  </si>
  <si>
    <t>Subcontracting</t>
  </si>
  <si>
    <t>Selling&amp;admin</t>
  </si>
  <si>
    <t>Other expenses</t>
  </si>
  <si>
    <t>Total operating expense</t>
  </si>
  <si>
    <t>EBITDA</t>
  </si>
  <si>
    <t>EBITDA margin%</t>
  </si>
  <si>
    <t>EBIT</t>
  </si>
  <si>
    <t>EBIT margin%</t>
  </si>
  <si>
    <t>EBIT(Operating profit)</t>
  </si>
  <si>
    <t>Other income(non operating)</t>
  </si>
  <si>
    <t>Tax expense</t>
  </si>
  <si>
    <t>Net profit after tax</t>
  </si>
  <si>
    <t>CAGR</t>
  </si>
  <si>
    <t>LIABILITIES</t>
  </si>
  <si>
    <t>Equit share capital</t>
  </si>
  <si>
    <t>reserves</t>
  </si>
  <si>
    <t>Total shareholders equity</t>
  </si>
  <si>
    <t>Other liabilities</t>
  </si>
  <si>
    <t>Total liabilities</t>
  </si>
  <si>
    <t>ASSETS</t>
  </si>
  <si>
    <t>Fixed assets</t>
  </si>
  <si>
    <t>Capt work in progress</t>
  </si>
  <si>
    <t>Other assets</t>
  </si>
  <si>
    <t>Total assets</t>
  </si>
  <si>
    <t>KEY BALANCE SHEET ITEMS</t>
  </si>
  <si>
    <t>Cash&amp;bank</t>
  </si>
  <si>
    <t>Net debt</t>
  </si>
  <si>
    <t>Check</t>
  </si>
  <si>
    <t xml:space="preserve">KEY ASSUMPTIONS </t>
  </si>
  <si>
    <t>PARAMETER</t>
  </si>
  <si>
    <t>VALUE</t>
  </si>
  <si>
    <t>RATIONALE</t>
  </si>
  <si>
    <t>FY 2026</t>
  </si>
  <si>
    <t>FY 2027</t>
  </si>
  <si>
    <t>FY 2028</t>
  </si>
  <si>
    <t>FY 2029</t>
  </si>
  <si>
    <t>FY 2030</t>
  </si>
  <si>
    <t>VALUATION DATE</t>
  </si>
  <si>
    <t>PROJECTION PERIOD</t>
  </si>
  <si>
    <t>REVENUE GROWTH%</t>
  </si>
  <si>
    <t>Annual growth tapering</t>
  </si>
  <si>
    <t>Terminal growth rate</t>
  </si>
  <si>
    <t>Risk free rate</t>
  </si>
  <si>
    <t>Equity risk premium</t>
  </si>
  <si>
    <t>REVENUE PROJECTIONS &amp; GROWTH ASSUMPTIONS</t>
  </si>
  <si>
    <t>YEAR</t>
  </si>
  <si>
    <t>FY2026</t>
  </si>
  <si>
    <t>FY2027</t>
  </si>
  <si>
    <t>FY2028</t>
  </si>
  <si>
    <t>FY2029</t>
  </si>
  <si>
    <t>FY2030</t>
  </si>
  <si>
    <t>Revenue growth%</t>
  </si>
  <si>
    <t>Revenue(in Crs.)</t>
  </si>
  <si>
    <t>Chosen scenario</t>
  </si>
  <si>
    <t>BEST CASE</t>
  </si>
  <si>
    <t>BASE CASE</t>
  </si>
  <si>
    <t>WORST CASE</t>
  </si>
  <si>
    <t>FREE CASH FLOW PROJECTIONS</t>
  </si>
  <si>
    <t>Revenue</t>
  </si>
  <si>
    <t>EBITDA Margin%</t>
  </si>
  <si>
    <t xml:space="preserve">EBITDA </t>
  </si>
  <si>
    <t>Less: Depreciation</t>
  </si>
  <si>
    <t>Less:TAX</t>
  </si>
  <si>
    <t>NOPAT</t>
  </si>
  <si>
    <t>Less: Reinvestment</t>
  </si>
  <si>
    <t>FCF to firm</t>
  </si>
  <si>
    <t>Tax rate</t>
  </si>
  <si>
    <t>%of sales</t>
  </si>
  <si>
    <t>Add: Depreciation( adding cause we didn’t pay in actual)</t>
  </si>
  <si>
    <t>CAPEX</t>
  </si>
  <si>
    <t>WORKING CAPITAL</t>
  </si>
  <si>
    <t xml:space="preserve">CAPEX% </t>
  </si>
  <si>
    <t>WORKING CAPITAL%</t>
  </si>
  <si>
    <t>WACC</t>
  </si>
  <si>
    <t>TARGET CAPITAL STRUCTURE</t>
  </si>
  <si>
    <t>Proportion of debt</t>
  </si>
  <si>
    <t>Proportion of Equity</t>
  </si>
  <si>
    <t>CURRENT CAPITAL STRUCTURE</t>
  </si>
  <si>
    <t>Market cap.</t>
  </si>
  <si>
    <t>Total debt</t>
  </si>
  <si>
    <t>Debt/equity</t>
  </si>
  <si>
    <t>COST OF DEBT</t>
  </si>
  <si>
    <t>Pre tax cost of debt</t>
  </si>
  <si>
    <t>After tax cost of debt</t>
  </si>
  <si>
    <t>COST OF EQUITY</t>
  </si>
  <si>
    <t>Levered equity beta</t>
  </si>
  <si>
    <t>Cost of equity</t>
  </si>
  <si>
    <t>COMPANY COMPARABLE ANALYSIS</t>
  </si>
  <si>
    <t>COMPANY</t>
  </si>
  <si>
    <t>PRICE</t>
  </si>
  <si>
    <t>MARKET CAPT</t>
  </si>
  <si>
    <t>REVENUE</t>
  </si>
  <si>
    <t>NET PROFIT</t>
  </si>
  <si>
    <t>BETA</t>
  </si>
  <si>
    <t>BORROWINGS</t>
  </si>
  <si>
    <t>CASH&amp;BANK</t>
  </si>
  <si>
    <t>Infosys</t>
  </si>
  <si>
    <t>TCS</t>
  </si>
  <si>
    <t>HCL Technologies</t>
  </si>
  <si>
    <t>Wipro</t>
  </si>
  <si>
    <t>INDUSTRY BETA</t>
  </si>
  <si>
    <t>DEBT</t>
  </si>
  <si>
    <t>Company name</t>
  </si>
  <si>
    <t>Equity value</t>
  </si>
  <si>
    <t>Debt/capital</t>
  </si>
  <si>
    <t>Tax rate%</t>
  </si>
  <si>
    <t>Levered beta</t>
  </si>
  <si>
    <t>Unlevered beta</t>
  </si>
  <si>
    <t>Tech mahindra</t>
  </si>
  <si>
    <t>AVERAGE</t>
  </si>
  <si>
    <t>MEDIAN</t>
  </si>
  <si>
    <t>BASED ON MANAGEMENT GUIDANCE</t>
  </si>
  <si>
    <t>10 YEAR INDIAN GOV BOND YEILD</t>
  </si>
  <si>
    <t>EXPECTED RETURN OVER RISK FREE RATE FOR EQUITY INESTOR</t>
  </si>
  <si>
    <t>TERMINAL VALUE CALCULATION</t>
  </si>
  <si>
    <t>Terminal year FCF (FY30)</t>
  </si>
  <si>
    <t>Terminal growth rate (g)</t>
  </si>
  <si>
    <t>Terminal value= FCF*(1+g)/(WACC-g)</t>
  </si>
  <si>
    <t>Terminal value</t>
  </si>
  <si>
    <t>PRESENT VALUE CALCULATION</t>
  </si>
  <si>
    <t>FY 26</t>
  </si>
  <si>
    <t>FY 27</t>
  </si>
  <si>
    <t>FY 28</t>
  </si>
  <si>
    <t>FY 29</t>
  </si>
  <si>
    <t>FY 30</t>
  </si>
  <si>
    <t>FCF (cr.)</t>
  </si>
  <si>
    <t>Discount factor</t>
  </si>
  <si>
    <t>PV of FCF (cr.)</t>
  </si>
  <si>
    <t>Terminal</t>
  </si>
  <si>
    <t>DCF VALUATION SUMMARY</t>
  </si>
  <si>
    <t>Sum of PV of FCF (FY26-30)</t>
  </si>
  <si>
    <t>PV of terminal value</t>
  </si>
  <si>
    <t>Enterprise value</t>
  </si>
  <si>
    <t>Less: Net debt</t>
  </si>
  <si>
    <t>Add: Cash&amp;Investments</t>
  </si>
  <si>
    <t>Shares outstanding</t>
  </si>
  <si>
    <t>Fair value per share</t>
  </si>
  <si>
    <t>Current market price</t>
  </si>
  <si>
    <t>Upside/downside</t>
  </si>
  <si>
    <t>Sensitivity analysis</t>
  </si>
  <si>
    <t>Terminal growth</t>
  </si>
  <si>
    <t>Key risk and consideration</t>
  </si>
  <si>
    <t>1)Revenue growth re-rating if AI/cloud deal wins accelerate beyond 3.5% guidance</t>
  </si>
  <si>
    <t>2)Net cash of ₹16,228 Cr available for buybacks or acquisitions — directly value accretive</t>
  </si>
  <si>
    <t>3)EBITDA margin recovery toward 26–27% via GenAI-led productivity and better utilisation</t>
  </si>
  <si>
    <t xml:space="preserve">4)FCF yield of 6.57% is attractive — improves further on stronger growth </t>
  </si>
  <si>
    <t>UPSIDE</t>
  </si>
  <si>
    <t>DOWNSIDE</t>
  </si>
  <si>
    <t>1)Terminal growth of 6% is sensitive — every 1% cut materially reduces intrinsic value</t>
  </si>
  <si>
    <t>2)Weak discretionary IT spend in US/Europe could push growth below the 3.5% modelled base</t>
  </si>
  <si>
    <t>3)Employee costs at 52–55% of revenue — sticky; wage inflation or attrition reversal compresses margin</t>
  </si>
  <si>
    <t>4)Borrowings rose from nil to ₹8,227 Cr — modest but increasing financial risk vs prior years</t>
  </si>
  <si>
    <t>CONCLUSION&amp;RECOMMENDATION</t>
  </si>
  <si>
    <r>
      <t>1)Fundamentally sound business — revenue CAGR </t>
    </r>
    <r>
      <rPr>
        <sz val="16"/>
        <color theme="7"/>
        <rFont val="Arial"/>
        <family val="2"/>
      </rPr>
      <t>12.9%</t>
    </r>
    <r>
      <rPr>
        <sz val="16"/>
        <color theme="7"/>
        <rFont val="Arial"/>
        <family val="2"/>
      </rPr>
      <t>, net profit CAGR </t>
    </r>
    <r>
      <rPr>
        <sz val="16"/>
        <color theme="7"/>
        <rFont val="Arial"/>
        <family val="2"/>
      </rPr>
      <t>8.4%</t>
    </r>
    <r>
      <rPr>
        <sz val="16"/>
        <color theme="7"/>
        <rFont val="Arial"/>
        <family val="2"/>
      </rPr>
      <t>, ROE consistently </t>
    </r>
    <r>
      <rPr>
        <sz val="16"/>
        <color theme="7"/>
        <rFont val="Arial"/>
        <family val="2"/>
      </rPr>
      <t>25–32%</t>
    </r>
    <r>
      <rPr>
        <sz val="16"/>
        <color theme="7"/>
        <rFont val="Arial"/>
        <family val="2"/>
      </rPr>
      <t> over FY21–25</t>
    </r>
  </si>
  <si>
    <r>
      <t>2)Near-debt-free balance sheet (</t>
    </r>
    <r>
      <rPr>
        <sz val="16"/>
        <color theme="7"/>
        <rFont val="Arial"/>
        <family val="2"/>
      </rPr>
      <t>net cash ₹16,228 Cr</t>
    </r>
    <r>
      <rPr>
        <sz val="16"/>
        <color theme="7"/>
        <rFont val="Arial"/>
        <family val="2"/>
      </rPr>
      <t>); strong OCF of ₹35,694 Cr in FY25 — highest in the last decade</t>
    </r>
  </si>
  <si>
    <r>
      <t>3)EBITDA margin stabilised at </t>
    </r>
    <r>
      <rPr>
        <sz val="16"/>
        <color theme="7"/>
        <rFont val="Arial"/>
        <family val="2"/>
      </rPr>
      <t>~24%</t>
    </r>
    <r>
      <rPr>
        <sz val="16"/>
        <color theme="7"/>
        <rFont val="Arial"/>
        <family val="2"/>
      </rPr>
      <t> after post-pandemic dip from 27.8%; partial recovery visible in FY25</t>
    </r>
  </si>
  <si>
    <r>
      <t>4)Current valuation at </t>
    </r>
    <r>
      <rPr>
        <sz val="16"/>
        <color theme="7"/>
        <rFont val="Arial"/>
        <family val="2"/>
      </rPr>
      <t>₹1,268.9</t>
    </r>
    <r>
      <rPr>
        <sz val="16"/>
        <color theme="7"/>
        <rFont val="Arial"/>
        <family val="2"/>
      </rPr>
      <t> (Mkt cap ₹5.15L Cr) prices in stability; limited margin of safety at current levels</t>
    </r>
  </si>
  <si>
    <r>
      <t>5)Stock is </t>
    </r>
    <r>
      <rPr>
        <sz val="16"/>
        <color theme="7"/>
        <rFont val="Arial"/>
        <family val="2"/>
      </rPr>
      <t>fairly valued to marginally undervalued</t>
    </r>
    <r>
      <rPr>
        <sz val="16"/>
        <color theme="7"/>
        <rFont val="Arial"/>
        <family val="2"/>
      </rPr>
      <t> on DCF basis given current assumptions</t>
    </r>
  </si>
  <si>
    <r>
      <t>6)Existing investors: </t>
    </r>
    <r>
      <rPr>
        <sz val="16"/>
        <color theme="7"/>
        <rFont val="Arial"/>
        <family val="2"/>
      </rPr>
      <t>Hold</t>
    </r>
    <r>
      <rPr>
        <sz val="16"/>
        <color theme="7"/>
        <rFont val="Arial"/>
        <family val="2"/>
      </rPr>
      <t> — quality compounder with strong cash return; no reason to exit</t>
    </r>
  </si>
  <si>
    <r>
      <t>7)Fresh investors: </t>
    </r>
    <r>
      <rPr>
        <sz val="16"/>
        <color theme="7"/>
        <rFont val="Arial"/>
        <family val="2"/>
      </rPr>
      <t>Accumulate on dips</t>
    </r>
    <r>
      <rPr>
        <sz val="16"/>
        <color theme="7"/>
        <rFont val="Arial"/>
        <family val="2"/>
      </rPr>
      <t> — better entry around </t>
    </r>
    <r>
      <rPr>
        <sz val="16"/>
        <color theme="7"/>
        <rFont val="Arial"/>
        <family val="2"/>
      </rPr>
      <t>₹1,100–1,150</t>
    </r>
    <r>
      <rPr>
        <sz val="16"/>
        <color theme="7"/>
        <rFont val="Arial"/>
        <family val="2"/>
      </rPr>
      <t> for adequate margin of safety</t>
    </r>
  </si>
  <si>
    <r>
      <t>8)Key re-rating trigger: FY26 guidance upgrade to </t>
    </r>
    <r>
      <rPr>
        <sz val="16"/>
        <color theme="7"/>
        <rFont val="Arial"/>
        <family val="2"/>
      </rPr>
      <t>6–8% growth</t>
    </r>
    <r>
      <rPr>
        <sz val="16"/>
        <color theme="7"/>
        <rFont val="Arial"/>
        <family val="2"/>
      </rPr>
      <t> — would unlock meaningful upside toward ₹1,600–1,800</t>
    </r>
  </si>
  <si>
    <t>RECOMMENDATION</t>
  </si>
  <si>
    <r>
      <t>9)Bear case: growth stagnation at 2–3% + margin pressure → intrinsic value falls </t>
    </r>
    <r>
      <rPr>
        <sz val="16"/>
        <color theme="7"/>
        <rFont val="Arial"/>
        <family val="2"/>
      </rPr>
      <t>below current market price.</t>
    </r>
  </si>
  <si>
    <t>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</si>
</sst>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₹&quot;#,##0_);\(&quot;₹&quot;#,##0\)"/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&quot;₹&quot;#,##0"/>
    <numFmt numFmtId="167" formatCode=";;;"/>
    <numFmt numFmtId="168" formatCode="0.000%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 (Body)"/>
    </font>
    <font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Baskerville"/>
      <family val="1"/>
    </font>
    <font>
      <b/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22222F"/>
      <name val="Arial"/>
      <family val="2"/>
    </font>
    <font>
      <sz val="14"/>
      <color rgb="FF22222F"/>
      <name val="Arial"/>
      <family val="2"/>
    </font>
    <font>
      <sz val="14"/>
      <color rgb="FF22222F"/>
      <name val="Arial"/>
      <family val="2"/>
    </font>
    <font>
      <sz val="16"/>
      <color theme="0"/>
      <name val="Calibri (Body)"/>
    </font>
    <font>
      <b/>
      <sz val="16"/>
      <color theme="0"/>
      <name val="Calibri (Body)"/>
    </font>
    <font>
      <b/>
      <sz val="18"/>
      <color theme="0"/>
      <name val="Calibri (Body)"/>
    </font>
    <font>
      <b/>
      <sz val="20"/>
      <color theme="0"/>
      <name val="Calibri (Body)"/>
    </font>
    <font>
      <sz val="18"/>
      <color theme="0"/>
      <name val="Calibri"/>
      <family val="2"/>
      <scheme val="minor"/>
    </font>
    <font>
      <sz val="18"/>
      <color theme="2" tint="-0.749961851863155"/>
      <name val="Calibri"/>
      <family val="2"/>
      <scheme val="minor"/>
    </font>
    <font>
      <sz val="16"/>
      <color theme="2" tint="-0.749961851863155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00B050"/>
      <name val="Calibri"/>
      <family val="2"/>
      <scheme val="minor"/>
    </font>
    <font>
      <sz val="16"/>
      <color theme="7"/>
      <name val="Arial"/>
      <family val="2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</cellStyleXfs>
  <cellXfs count="92">
    <xf numFmtId="0" fontId="0" fillId="0" borderId="0" xfId="0"/>
    <xf numFmtId="164" fontId="1" fillId="0" borderId="0" xfId="1" applyFont="1" applyBorder="1"/>
    <xf numFmtId="164" fontId="0" fillId="0" borderId="0" xfId="1" applyFont="1" applyBorder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0" fontId="7" fillId="0" borderId="0" xfId="0" applyFont="1"/>
    <xf numFmtId="0" fontId="9" fillId="4" borderId="0" xfId="0" applyFont="1" applyFill="1"/>
    <xf numFmtId="0" fontId="10" fillId="0" borderId="0" xfId="0" applyFont="1"/>
    <xf numFmtId="9" fontId="10" fillId="0" borderId="0" xfId="0" applyNumberFormat="1" applyFont="1"/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1" fillId="0" borderId="0" xfId="0" applyFont="1"/>
    <xf numFmtId="0" fontId="10" fillId="4" borderId="0" xfId="0" applyFont="1" applyFill="1"/>
    <xf numFmtId="0" fontId="12" fillId="4" borderId="0" xfId="0" applyFont="1" applyFill="1"/>
    <xf numFmtId="0" fontId="9" fillId="4" borderId="2" xfId="0" applyFont="1" applyFill="1" applyBorder="1"/>
    <xf numFmtId="0" fontId="14" fillId="0" borderId="0" xfId="0" applyFont="1" applyAlignment="1">
      <alignment horizontal="center"/>
    </xf>
    <xf numFmtId="10" fontId="7" fillId="0" borderId="0" xfId="0" applyNumberFormat="1" applyFont="1"/>
    <xf numFmtId="0" fontId="9" fillId="4" borderId="0" xfId="0" applyFont="1" applyFill="1" applyAlignment="1">
      <alignment horizontal="center" vertical="center"/>
    </xf>
    <xf numFmtId="0" fontId="10" fillId="5" borderId="0" xfId="0" applyFont="1" applyFill="1"/>
    <xf numFmtId="0" fontId="9" fillId="4" borderId="3" xfId="0" applyFont="1" applyFill="1" applyBorder="1"/>
    <xf numFmtId="166" fontId="15" fillId="0" borderId="0" xfId="0" applyNumberFormat="1" applyFont="1"/>
    <xf numFmtId="0" fontId="16" fillId="4" borderId="0" xfId="0" applyFont="1" applyFill="1"/>
    <xf numFmtId="0" fontId="17" fillId="4" borderId="0" xfId="0" applyFont="1" applyFill="1" applyAlignment="1">
      <alignment horizontal="center" vertical="center"/>
    </xf>
    <xf numFmtId="0" fontId="18" fillId="0" borderId="0" xfId="0" applyFont="1"/>
    <xf numFmtId="0" fontId="19" fillId="0" borderId="0" xfId="0" applyFont="1"/>
    <xf numFmtId="3" fontId="20" fillId="0" borderId="0" xfId="0" applyNumberFormat="1" applyFont="1"/>
    <xf numFmtId="3" fontId="18" fillId="0" borderId="0" xfId="0" applyNumberFormat="1" applyFont="1"/>
    <xf numFmtId="3" fontId="19" fillId="0" borderId="0" xfId="0" applyNumberFormat="1" applyFont="1"/>
    <xf numFmtId="0" fontId="21" fillId="4" borderId="0" xfId="0" applyFont="1" applyFill="1"/>
    <xf numFmtId="2" fontId="10" fillId="0" borderId="0" xfId="0" applyNumberFormat="1" applyFont="1"/>
    <xf numFmtId="9" fontId="9" fillId="4" borderId="0" xfId="0" applyNumberFormat="1" applyFont="1" applyFill="1"/>
    <xf numFmtId="2" fontId="9" fillId="4" borderId="0" xfId="0" applyNumberFormat="1" applyFont="1" applyFill="1"/>
    <xf numFmtId="0" fontId="22" fillId="4" borderId="0" xfId="0" applyFont="1" applyFill="1"/>
    <xf numFmtId="0" fontId="13" fillId="0" borderId="0" xfId="0" applyFont="1"/>
    <xf numFmtId="0" fontId="15" fillId="0" borderId="0" xfId="0" applyFont="1"/>
    <xf numFmtId="0" fontId="15" fillId="6" borderId="0" xfId="0" applyFont="1" applyFill="1"/>
    <xf numFmtId="0" fontId="24" fillId="4" borderId="0" xfId="0" applyFont="1" applyFill="1"/>
    <xf numFmtId="167" fontId="13" fillId="0" borderId="0" xfId="0" applyNumberFormat="1" applyFont="1"/>
    <xf numFmtId="10" fontId="15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26" fillId="4" borderId="0" xfId="0" applyFont="1" applyFill="1"/>
    <xf numFmtId="0" fontId="27" fillId="4" borderId="0" xfId="0" applyFont="1" applyFill="1"/>
    <xf numFmtId="0" fontId="23" fillId="4" borderId="0" xfId="0" applyFont="1" applyFill="1" applyAlignment="1">
      <alignment horizontal="center" vertical="center"/>
    </xf>
    <xf numFmtId="0" fontId="15" fillId="0" borderId="3" xfId="0" applyFont="1" applyBorder="1"/>
    <xf numFmtId="0" fontId="28" fillId="4" borderId="0" xfId="0" applyFont="1" applyFill="1" applyAlignment="1">
      <alignment horizontal="center" vertical="center"/>
    </xf>
    <xf numFmtId="0" fontId="29" fillId="0" borderId="0" xfId="0" applyFont="1" applyAlignment="1">
      <alignment horizontal="center" wrapText="1"/>
    </xf>
    <xf numFmtId="0" fontId="31" fillId="0" borderId="0" xfId="0" applyFont="1"/>
    <xf numFmtId="15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0" fontId="9" fillId="4" borderId="3" xfId="0" applyFont="1" applyFill="1" applyBorder="1" applyAlignment="1">
      <alignment horizontal="center"/>
    </xf>
    <xf numFmtId="3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10" fillId="5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2" fontId="10" fillId="0" borderId="0" xfId="0" applyNumberFormat="1" applyFont="1" applyAlignment="1">
      <alignment horizontal="center"/>
    </xf>
    <xf numFmtId="0" fontId="9" fillId="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3" fontId="13" fillId="0" borderId="0" xfId="0" applyNumberFormat="1" applyFont="1" applyAlignment="1">
      <alignment horizontal="center"/>
    </xf>
    <xf numFmtId="3" fontId="15" fillId="6" borderId="0" xfId="0" applyNumberFormat="1" applyFont="1" applyFill="1" applyAlignment="1">
      <alignment horizontal="center"/>
    </xf>
    <xf numFmtId="5" fontId="15" fillId="6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25" fillId="4" borderId="0" xfId="0" applyNumberFormat="1" applyFont="1" applyFill="1" applyAlignment="1">
      <alignment horizontal="center"/>
    </xf>
    <xf numFmtId="9" fontId="12" fillId="4" borderId="0" xfId="0" applyNumberFormat="1" applyFont="1" applyFill="1" applyAlignment="1">
      <alignment horizontal="center"/>
    </xf>
    <xf numFmtId="10" fontId="12" fillId="4" borderId="0" xfId="0" applyNumberFormat="1" applyFont="1" applyFill="1" applyAlignment="1">
      <alignment horizontal="center"/>
    </xf>
    <xf numFmtId="166" fontId="13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8" fillId="4" borderId="0" xfId="0" applyFont="1" applyFill="1" applyAlignment="1">
      <alignment horizontal="center"/>
    </xf>
    <xf numFmtId="43" fontId="13" fillId="0" borderId="0" xfId="0" applyNumberFormat="1" applyFont="1" applyAlignment="1">
      <alignment horizontal="center" vertical="top"/>
    </xf>
    <xf numFmtId="0" fontId="30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15" fillId="0" borderId="0" xfId="0" applyFont="1"/>
    <xf numFmtId="0" fontId="7" fillId="0" borderId="0" xfId="0" applyFont="1" applyAlignment="1">
      <alignment wrapText="1" shrinkToFit="1"/>
    </xf>
    <xf numFmtId="0" fontId="10" fillId="0" borderId="0" xfId="0" applyFont="1" applyAlignment="1">
      <alignment wrapText="1"/>
    </xf>
    <xf numFmtId="0" fontId="7" fillId="0" borderId="0" xfId="0" applyFont="1"/>
    <xf numFmtId="0" fontId="7" fillId="0" borderId="0" xfId="0" quotePrefix="1" applyFont="1" applyAlignment="1">
      <alignment wrapText="1"/>
    </xf>
    <xf numFmtId="0" fontId="29" fillId="0" borderId="0" xfId="0" applyFont="1" applyAlignment="1">
      <alignment horizontal="center" wrapText="1"/>
    </xf>
    <xf numFmtId="0" fontId="13" fillId="0" borderId="0" xfId="0" applyFont="1"/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</cellXfs>
  <cellStyles count="4">
    <cellStyle name="Accent6" xfId="3" builtinId="49"/>
    <cellStyle name="Comma" xfId="1" builtinId="3"/>
    <cellStyle name="Hyperlink" xfId="2" builtinId="8"/>
    <cellStyle name="Normal" xfId="0" builtinId="0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7751-05CA-514A-80CA-26DDF3186E62}">
  <dimension ref="A1:IZ428"/>
  <sheetViews>
    <sheetView zoomScale="131" zoomScaleNormal="85" workbookViewId="0">
      <pane ySplit="1" topLeftCell="A2" activePane="bottomLeft" state="frozen"/>
      <selection pane="bottomLeft" activeCell="B88" sqref="B88"/>
    </sheetView>
  </sheetViews>
  <sheetFormatPr baseColWidth="10" defaultRowHeight="15" outlineLevelRow="1" x14ac:dyDescent="0.2"/>
  <cols>
    <col min="1" max="1" width="60.6640625" customWidth="1"/>
    <col min="2" max="2" width="24.6640625" customWidth="1"/>
    <col min="3" max="3" width="20.83203125" customWidth="1"/>
    <col min="4" max="4" width="19.5" customWidth="1"/>
    <col min="5" max="5" width="17.1640625" customWidth="1"/>
    <col min="6" max="6" width="18.6640625" customWidth="1"/>
    <col min="7" max="7" width="13.6640625" bestFit="1" customWidth="1"/>
  </cols>
  <sheetData>
    <row r="1" spans="1:260" ht="24" outlineLevel="1" x14ac:dyDescent="0.3">
      <c r="A1" s="24" t="s">
        <v>54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</row>
    <row r="2" spans="1:260" ht="22" outlineLevel="1" thickBot="1" x14ac:dyDescent="0.3">
      <c r="A2" s="9" t="s">
        <v>55</v>
      </c>
      <c r="B2" s="14" t="s">
        <v>56</v>
      </c>
      <c r="C2" s="14" t="s">
        <v>57</v>
      </c>
      <c r="D2" s="14" t="s">
        <v>58</v>
      </c>
      <c r="E2" s="14" t="s">
        <v>59</v>
      </c>
      <c r="F2" s="14" t="s">
        <v>60</v>
      </c>
      <c r="G2" s="9" t="s">
        <v>76</v>
      </c>
      <c r="H2" s="10"/>
      <c r="I2" s="10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</row>
    <row r="3" spans="1:260" ht="21" outlineLevel="1" x14ac:dyDescent="0.25">
      <c r="A3" s="10" t="s">
        <v>61</v>
      </c>
      <c r="B3" s="12">
        <f>'Data Sheet'!G17</f>
        <v>100472</v>
      </c>
      <c r="C3" s="12">
        <f>'Data Sheet'!H17</f>
        <v>121641</v>
      </c>
      <c r="D3" s="12">
        <f>'Data Sheet'!I17</f>
        <v>146767</v>
      </c>
      <c r="E3" s="12">
        <f>'Data Sheet'!J17</f>
        <v>153670</v>
      </c>
      <c r="F3" s="12">
        <f>'Data Sheet'!K17</f>
        <v>162990</v>
      </c>
      <c r="G3" s="11">
        <f>(F3/B3)^(1/4)-1</f>
        <v>0.12857123836344519</v>
      </c>
      <c r="H3" s="10"/>
      <c r="I3" s="1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</row>
    <row r="4" spans="1:260" ht="21" outlineLevel="1" x14ac:dyDescent="0.25">
      <c r="A4" s="10" t="s">
        <v>62</v>
      </c>
      <c r="B4" s="12">
        <f>'Data Sheet'!G22</f>
        <v>55547</v>
      </c>
      <c r="C4" s="12">
        <f>'Data Sheet'!H22</f>
        <v>63997</v>
      </c>
      <c r="D4" s="12">
        <f>'Data Sheet'!I22</f>
        <v>78374</v>
      </c>
      <c r="E4" s="12">
        <f>'Data Sheet'!J22</f>
        <v>82636</v>
      </c>
      <c r="F4" s="12">
        <f>'Data Sheet'!K22</f>
        <v>85968</v>
      </c>
      <c r="G4" s="11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</row>
    <row r="5" spans="1:260" ht="21" outlineLevel="1" x14ac:dyDescent="0.25">
      <c r="A5" s="10" t="s">
        <v>63</v>
      </c>
      <c r="B5" s="12">
        <f>'Data Sheet'!G20</f>
        <v>143</v>
      </c>
      <c r="C5" s="12">
        <f>'Data Sheet'!H20</f>
        <v>132</v>
      </c>
      <c r="D5" s="12">
        <f>'Data Sheet'!I20</f>
        <v>176</v>
      </c>
      <c r="E5" s="12">
        <f>'Data Sheet'!J20</f>
        <v>199</v>
      </c>
      <c r="F5" s="12">
        <f>'Data Sheet'!K20</f>
        <v>222</v>
      </c>
      <c r="G5" s="11"/>
      <c r="H5" s="10"/>
      <c r="I5" s="10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</row>
    <row r="6" spans="1:260" ht="21" outlineLevel="1" x14ac:dyDescent="0.25">
      <c r="A6" s="10" t="s">
        <v>64</v>
      </c>
      <c r="B6" s="12">
        <f>'Data Sheet'!G21</f>
        <v>12800</v>
      </c>
      <c r="C6" s="12">
        <f>'Data Sheet'!H21</f>
        <v>20690</v>
      </c>
      <c r="D6" s="12">
        <f>'Data Sheet'!I21</f>
        <v>26330</v>
      </c>
      <c r="E6" s="12">
        <f>'Data Sheet'!J21</f>
        <v>27195</v>
      </c>
      <c r="F6" s="12">
        <f>'Data Sheet'!K21</f>
        <v>30395</v>
      </c>
      <c r="G6" s="11"/>
      <c r="H6" s="10"/>
      <c r="I6" s="10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</row>
    <row r="7" spans="1:260" ht="21" outlineLevel="1" x14ac:dyDescent="0.25">
      <c r="A7" s="10" t="s">
        <v>65</v>
      </c>
      <c r="B7" s="12">
        <f>'Data Sheet'!G23</f>
        <v>3194</v>
      </c>
      <c r="C7" s="12">
        <f>'Data Sheet'!H23</f>
        <v>4305</v>
      </c>
      <c r="D7" s="12">
        <f>'Data Sheet'!I23</f>
        <v>5300</v>
      </c>
      <c r="E7" s="12">
        <f>'Data Sheet'!J23</f>
        <v>5705</v>
      </c>
      <c r="F7" s="12">
        <f>'Data Sheet'!K23</f>
        <v>6039</v>
      </c>
      <c r="G7" s="11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</row>
    <row r="8" spans="1:260" ht="21" outlineLevel="1" x14ac:dyDescent="0.25">
      <c r="A8" s="10" t="s">
        <v>66</v>
      </c>
      <c r="B8" s="12">
        <f>'Data Sheet'!G24</f>
        <v>899</v>
      </c>
      <c r="C8" s="12">
        <f>'Data Sheet'!H24</f>
        <v>1026</v>
      </c>
      <c r="D8" s="12">
        <f>'Data Sheet'!I24</f>
        <v>1457</v>
      </c>
      <c r="E8" s="12">
        <f>'Data Sheet'!J24</f>
        <v>1510</v>
      </c>
      <c r="F8" s="12">
        <f>'Data Sheet'!K24</f>
        <v>1130</v>
      </c>
      <c r="G8" s="11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</row>
    <row r="9" spans="1:260" ht="21" outlineLevel="1" x14ac:dyDescent="0.25">
      <c r="A9" s="10" t="s">
        <v>67</v>
      </c>
      <c r="B9" s="12">
        <f>SUM(B4:B8)</f>
        <v>72583</v>
      </c>
      <c r="C9" s="12">
        <f t="shared" ref="C9:F9" si="0">SUM(C4:C8)</f>
        <v>90150</v>
      </c>
      <c r="D9" s="12">
        <f t="shared" si="0"/>
        <v>111637</v>
      </c>
      <c r="E9" s="12">
        <f t="shared" si="0"/>
        <v>117245</v>
      </c>
      <c r="F9" s="12">
        <f t="shared" si="0"/>
        <v>123754</v>
      </c>
      <c r="G9" s="11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</row>
    <row r="10" spans="1:260" ht="21" outlineLevel="1" x14ac:dyDescent="0.25">
      <c r="A10" s="10" t="s">
        <v>68</v>
      </c>
      <c r="B10" s="12">
        <f>B3-B9</f>
        <v>27889</v>
      </c>
      <c r="C10" s="12">
        <f t="shared" ref="C10:F10" si="1">C3-C9</f>
        <v>31491</v>
      </c>
      <c r="D10" s="12">
        <f t="shared" si="1"/>
        <v>35130</v>
      </c>
      <c r="E10" s="12">
        <f t="shared" si="1"/>
        <v>36425</v>
      </c>
      <c r="F10" s="12">
        <f t="shared" si="1"/>
        <v>39236</v>
      </c>
      <c r="G10" s="11">
        <f>(F10/B10)^(1/4)-1</f>
        <v>8.9087932417560634E-2</v>
      </c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</row>
    <row r="11" spans="1:260" ht="21" outlineLevel="1" x14ac:dyDescent="0.25">
      <c r="A11" s="10" t="s">
        <v>69</v>
      </c>
      <c r="B11" s="13">
        <f>B10/B3</f>
        <v>0.27757982323433394</v>
      </c>
      <c r="C11" s="13">
        <f t="shared" ref="C11:F11" si="2">C10/C3</f>
        <v>0.25888475102966929</v>
      </c>
      <c r="D11" s="13">
        <f t="shared" si="2"/>
        <v>0.23935898396778568</v>
      </c>
      <c r="E11" s="13">
        <f t="shared" si="2"/>
        <v>0.23703390381987374</v>
      </c>
      <c r="F11" s="13">
        <f t="shared" si="2"/>
        <v>0.24072642493404503</v>
      </c>
      <c r="G11" s="11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</row>
    <row r="12" spans="1:260" ht="21" outlineLevel="1" x14ac:dyDescent="0.25">
      <c r="A12" s="10"/>
      <c r="B12" s="12"/>
      <c r="C12" s="12"/>
      <c r="D12" s="12"/>
      <c r="E12" s="12"/>
      <c r="F12" s="12"/>
      <c r="G12" s="11"/>
      <c r="H12" s="10"/>
      <c r="I12" s="1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</row>
    <row r="13" spans="1:260" ht="21" outlineLevel="1" x14ac:dyDescent="0.25">
      <c r="A13" s="10" t="s">
        <v>5</v>
      </c>
      <c r="B13" s="12">
        <f>'Data Sheet'!G26</f>
        <v>3267</v>
      </c>
      <c r="C13" s="12">
        <f>'Data Sheet'!H26</f>
        <v>3476</v>
      </c>
      <c r="D13" s="12">
        <f>'Data Sheet'!I26</f>
        <v>4225</v>
      </c>
      <c r="E13" s="12">
        <f>'Data Sheet'!J26</f>
        <v>4678</v>
      </c>
      <c r="F13" s="12">
        <f>'Data Sheet'!K26</f>
        <v>4812</v>
      </c>
      <c r="G13" s="11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</row>
    <row r="14" spans="1:260" ht="21" outlineLevel="1" x14ac:dyDescent="0.25">
      <c r="A14" s="10" t="s">
        <v>131</v>
      </c>
      <c r="B14" s="13">
        <f>B13/B3</f>
        <v>3.2516522016084085E-2</v>
      </c>
      <c r="C14" s="13">
        <f>C13/C3</f>
        <v>2.8575891352422292E-2</v>
      </c>
      <c r="D14" s="13">
        <f t="shared" ref="D14:F14" si="3">D13/D3</f>
        <v>2.8787125171189708E-2</v>
      </c>
      <c r="E14" s="13">
        <f t="shared" si="3"/>
        <v>3.0441855925034164E-2</v>
      </c>
      <c r="F14" s="13">
        <f t="shared" si="3"/>
        <v>2.9523283637032948E-2</v>
      </c>
      <c r="G14" s="11"/>
      <c r="H14" s="10"/>
      <c r="I14" s="10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</row>
    <row r="15" spans="1:260" ht="21" outlineLevel="1" x14ac:dyDescent="0.25">
      <c r="A15" s="10" t="s">
        <v>72</v>
      </c>
      <c r="B15" s="12">
        <f>B10-B13</f>
        <v>24622</v>
      </c>
      <c r="C15" s="12">
        <f>C10-C13</f>
        <v>28015</v>
      </c>
      <c r="D15" s="12">
        <f>D10-D13</f>
        <v>30905</v>
      </c>
      <c r="E15" s="12">
        <f>E10-E13</f>
        <v>31747</v>
      </c>
      <c r="F15" s="12">
        <f>F10-F13</f>
        <v>34424</v>
      </c>
      <c r="G15" s="11"/>
      <c r="H15" s="10"/>
      <c r="I15" s="10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</row>
    <row r="16" spans="1:260" ht="21" outlineLevel="1" x14ac:dyDescent="0.25">
      <c r="A16" s="10" t="s">
        <v>71</v>
      </c>
      <c r="B16" s="13">
        <f>B15/B3</f>
        <v>0.24506330121824987</v>
      </c>
      <c r="C16" s="13">
        <f>C15/C3</f>
        <v>0.23030885967724699</v>
      </c>
      <c r="D16" s="13">
        <f>D15/D3</f>
        <v>0.21057185879659596</v>
      </c>
      <c r="E16" s="13">
        <f>E15/E3</f>
        <v>0.20659204789483959</v>
      </c>
      <c r="F16" s="13">
        <f>F15/F3</f>
        <v>0.21120314129701209</v>
      </c>
      <c r="G16" s="11"/>
      <c r="H16" s="10"/>
      <c r="I16" s="10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</row>
    <row r="17" spans="1:260" ht="21" outlineLevel="1" x14ac:dyDescent="0.25">
      <c r="A17" s="10"/>
      <c r="B17" s="12"/>
      <c r="C17" s="12"/>
      <c r="D17" s="12"/>
      <c r="E17" s="12"/>
      <c r="F17" s="12"/>
      <c r="G17" s="11"/>
      <c r="H17" s="10"/>
      <c r="I17" s="10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</row>
    <row r="18" spans="1:260" ht="21" outlineLevel="1" x14ac:dyDescent="0.25">
      <c r="A18" s="10" t="s">
        <v>6</v>
      </c>
      <c r="B18" s="12">
        <f>'Data Sheet'!G27</f>
        <v>195</v>
      </c>
      <c r="C18" s="12">
        <f>'Data Sheet'!H27</f>
        <v>200</v>
      </c>
      <c r="D18" s="12">
        <f>'Data Sheet'!I27</f>
        <v>284</v>
      </c>
      <c r="E18" s="12">
        <f>'Data Sheet'!J27</f>
        <v>470</v>
      </c>
      <c r="F18" s="12">
        <f>'Data Sheet'!K27</f>
        <v>416</v>
      </c>
      <c r="G18" s="11"/>
      <c r="H18" s="10"/>
      <c r="I18" s="10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</row>
    <row r="19" spans="1:260" ht="21" outlineLevel="1" x14ac:dyDescent="0.25">
      <c r="A19" s="10" t="s">
        <v>73</v>
      </c>
      <c r="B19" s="12">
        <f>'Data Sheet'!G25</f>
        <v>2201</v>
      </c>
      <c r="C19" s="12">
        <f>'Data Sheet'!H25</f>
        <v>2295</v>
      </c>
      <c r="D19" s="12">
        <f>'Data Sheet'!I25</f>
        <v>2701</v>
      </c>
      <c r="E19" s="12">
        <f>'Data Sheet'!J25</f>
        <v>4711</v>
      </c>
      <c r="F19" s="12">
        <f>'Data Sheet'!K25</f>
        <v>3600</v>
      </c>
      <c r="G19" s="11"/>
      <c r="H19" s="10"/>
      <c r="I19" s="10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</row>
    <row r="20" spans="1:260" ht="21" outlineLevel="1" x14ac:dyDescent="0.25">
      <c r="A20" s="10" t="s">
        <v>7</v>
      </c>
      <c r="B20" s="12">
        <f>'Data Sheet'!G28</f>
        <v>26628</v>
      </c>
      <c r="C20" s="12">
        <f>'Data Sheet'!H28</f>
        <v>30110</v>
      </c>
      <c r="D20" s="12">
        <f>'Data Sheet'!I28</f>
        <v>33322</v>
      </c>
      <c r="E20" s="12">
        <f>'Data Sheet'!J28</f>
        <v>35988</v>
      </c>
      <c r="F20" s="12">
        <f>'Data Sheet'!K28</f>
        <v>37608</v>
      </c>
      <c r="G20" s="11"/>
      <c r="H20" s="10"/>
      <c r="I20" s="10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</row>
    <row r="21" spans="1:260" ht="21" outlineLevel="1" x14ac:dyDescent="0.25">
      <c r="A21" s="10" t="s">
        <v>74</v>
      </c>
      <c r="B21" s="12">
        <f>'Data Sheet'!G29</f>
        <v>7205</v>
      </c>
      <c r="C21" s="12">
        <f>'Data Sheet'!H29</f>
        <v>7964</v>
      </c>
      <c r="D21" s="12">
        <f>'Data Sheet'!I29</f>
        <v>9214</v>
      </c>
      <c r="E21" s="12">
        <f>'Data Sheet'!J29</f>
        <v>9740</v>
      </c>
      <c r="F21" s="12">
        <f>'Data Sheet'!K29</f>
        <v>10858</v>
      </c>
      <c r="G21" s="11">
        <f>(F22/B22)^(1/4)-1</f>
        <v>8.3938926044597517E-2</v>
      </c>
      <c r="H21" s="10"/>
      <c r="I21" s="10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</row>
    <row r="22" spans="1:260" ht="21" x14ac:dyDescent="0.25">
      <c r="A22" s="10" t="s">
        <v>75</v>
      </c>
      <c r="B22" s="12">
        <f>'Data Sheet'!G30</f>
        <v>19351</v>
      </c>
      <c r="C22" s="12">
        <f>'Data Sheet'!H30</f>
        <v>22110</v>
      </c>
      <c r="D22" s="12">
        <f>'Data Sheet'!I30</f>
        <v>24095</v>
      </c>
      <c r="E22" s="12">
        <f>'Data Sheet'!J30</f>
        <v>26233</v>
      </c>
      <c r="F22" s="12">
        <f>'Data Sheet'!K30</f>
        <v>26713</v>
      </c>
      <c r="G22" s="10"/>
      <c r="H22" s="10"/>
      <c r="I22" s="10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</row>
    <row r="23" spans="1:260" ht="2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</row>
    <row r="24" spans="1:260" ht="21" outlineLevel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</row>
    <row r="25" spans="1:260" ht="21" outlineLevel="1" x14ac:dyDescent="0.25">
      <c r="A25" s="9" t="s">
        <v>25</v>
      </c>
      <c r="B25" s="9"/>
      <c r="C25" s="9"/>
      <c r="D25" s="9"/>
      <c r="E25" s="9"/>
      <c r="F25" s="9"/>
      <c r="G25" s="10"/>
      <c r="H25" s="10"/>
      <c r="I25" s="10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</row>
    <row r="26" spans="1:260" ht="21" outlineLevel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</row>
    <row r="27" spans="1:260" ht="21" outlineLevel="1" x14ac:dyDescent="0.25">
      <c r="A27" s="50" t="s">
        <v>77</v>
      </c>
      <c r="B27" s="10"/>
      <c r="C27" s="10"/>
      <c r="D27" s="10"/>
      <c r="E27" s="10"/>
      <c r="F27" s="10"/>
      <c r="G27" s="10"/>
      <c r="H27" s="10"/>
      <c r="I27" s="10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</row>
    <row r="28" spans="1:260" ht="21" outlineLevel="1" x14ac:dyDescent="0.25">
      <c r="A28" s="10" t="s">
        <v>78</v>
      </c>
      <c r="B28" s="12">
        <f>'Data Sheet'!G57</f>
        <v>2124</v>
      </c>
      <c r="C28" s="12">
        <f>'Data Sheet'!H57</f>
        <v>2098</v>
      </c>
      <c r="D28" s="12">
        <f>'Data Sheet'!I57</f>
        <v>2069</v>
      </c>
      <c r="E28" s="12">
        <f>'Data Sheet'!J57</f>
        <v>2071</v>
      </c>
      <c r="F28" s="12">
        <f>'Data Sheet'!K57</f>
        <v>2073</v>
      </c>
      <c r="G28" s="10"/>
      <c r="H28" s="10"/>
      <c r="I28" s="10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</row>
    <row r="29" spans="1:260" ht="21" outlineLevel="1" x14ac:dyDescent="0.25">
      <c r="A29" s="10" t="s">
        <v>79</v>
      </c>
      <c r="B29" s="12">
        <f>'Data Sheet'!G58</f>
        <v>74227</v>
      </c>
      <c r="C29" s="12">
        <f>'Data Sheet'!H58</f>
        <v>73252</v>
      </c>
      <c r="D29" s="12">
        <f>'Data Sheet'!I58</f>
        <v>73338</v>
      </c>
      <c r="E29" s="12">
        <f>'Data Sheet'!J58</f>
        <v>86045</v>
      </c>
      <c r="F29" s="12">
        <f>'Data Sheet'!K58</f>
        <v>93745</v>
      </c>
      <c r="G29" s="10"/>
      <c r="H29" s="10"/>
      <c r="I29" s="10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</row>
    <row r="30" spans="1:260" ht="21" outlineLevel="1" x14ac:dyDescent="0.25">
      <c r="A30" s="10" t="s">
        <v>80</v>
      </c>
      <c r="B30" s="12">
        <f>B28+B29</f>
        <v>76351</v>
      </c>
      <c r="C30" s="12">
        <f t="shared" ref="C30:F30" si="4">C28+C29</f>
        <v>75350</v>
      </c>
      <c r="D30" s="12">
        <f t="shared" si="4"/>
        <v>75407</v>
      </c>
      <c r="E30" s="12">
        <f t="shared" si="4"/>
        <v>88116</v>
      </c>
      <c r="F30" s="12">
        <f t="shared" si="4"/>
        <v>95818</v>
      </c>
      <c r="G30" s="10"/>
      <c r="H30" s="10"/>
      <c r="I30" s="10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</row>
    <row r="31" spans="1:260" ht="21" outlineLevel="1" x14ac:dyDescent="0.25">
      <c r="A31" s="10" t="s">
        <v>35</v>
      </c>
      <c r="B31" s="12">
        <f>'Data Sheet'!G59</f>
        <v>5325</v>
      </c>
      <c r="C31" s="12">
        <f>'Data Sheet'!H59</f>
        <v>5474</v>
      </c>
      <c r="D31" s="12">
        <f>'Data Sheet'!I59</f>
        <v>8299</v>
      </c>
      <c r="E31" s="12">
        <f>'Data Sheet'!J59</f>
        <v>8359</v>
      </c>
      <c r="F31" s="12">
        <f>'Data Sheet'!K59</f>
        <v>8227</v>
      </c>
      <c r="G31" s="10"/>
      <c r="H31" s="10"/>
      <c r="I31" s="10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</row>
    <row r="32" spans="1:260" ht="21" outlineLevel="1" x14ac:dyDescent="0.25">
      <c r="A32" s="10" t="s">
        <v>81</v>
      </c>
      <c r="B32" s="12">
        <f>'Data Sheet'!G60</f>
        <v>25835</v>
      </c>
      <c r="C32" s="12">
        <f>'Data Sheet'!H60</f>
        <v>35905</v>
      </c>
      <c r="D32" s="12">
        <f>'Data Sheet'!I60</f>
        <v>40890</v>
      </c>
      <c r="E32" s="12">
        <f>'Data Sheet'!J60</f>
        <v>40885</v>
      </c>
      <c r="F32" s="12">
        <f>'Data Sheet'!K60</f>
        <v>43750</v>
      </c>
      <c r="G32" s="10"/>
      <c r="H32" s="10"/>
      <c r="I32" s="10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</row>
    <row r="33" spans="1:260" ht="21" outlineLevel="1" x14ac:dyDescent="0.25">
      <c r="A33" s="10" t="s">
        <v>82</v>
      </c>
      <c r="B33" s="12">
        <f>SUM(B30:B32)</f>
        <v>107511</v>
      </c>
      <c r="C33" s="12">
        <f t="shared" ref="C33:F33" si="5">SUM(C30:C32)</f>
        <v>116729</v>
      </c>
      <c r="D33" s="12">
        <f t="shared" si="5"/>
        <v>124596</v>
      </c>
      <c r="E33" s="12">
        <f t="shared" si="5"/>
        <v>137360</v>
      </c>
      <c r="F33" s="12">
        <f t="shared" si="5"/>
        <v>147795</v>
      </c>
      <c r="G33" s="10"/>
      <c r="H33" s="10"/>
      <c r="I33" s="10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</row>
    <row r="34" spans="1:260" ht="21" outlineLevel="1" x14ac:dyDescent="0.25">
      <c r="A34" s="50" t="s">
        <v>83</v>
      </c>
      <c r="B34" s="12"/>
      <c r="C34" s="12"/>
      <c r="D34" s="12"/>
      <c r="E34" s="12"/>
      <c r="F34" s="12"/>
      <c r="G34" s="10"/>
      <c r="H34" s="10"/>
      <c r="I34" s="10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</row>
    <row r="35" spans="1:260" ht="21" outlineLevel="1" x14ac:dyDescent="0.25">
      <c r="A35" s="10" t="s">
        <v>84</v>
      </c>
      <c r="B35" s="12">
        <f>'Data Sheet'!G62</f>
        <v>25505</v>
      </c>
      <c r="C35" s="12">
        <f>'Data Sheet'!H62</f>
        <v>25800</v>
      </c>
      <c r="D35" s="12">
        <f>'Data Sheet'!I62</f>
        <v>29225</v>
      </c>
      <c r="E35" s="12">
        <f>'Data Sheet'!J62</f>
        <v>27622</v>
      </c>
      <c r="F35" s="12">
        <f>'Data Sheet'!K62</f>
        <v>30961</v>
      </c>
      <c r="G35" s="10"/>
      <c r="H35" s="10"/>
      <c r="I35" s="10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</row>
    <row r="36" spans="1:260" ht="21" outlineLevel="1" x14ac:dyDescent="0.25">
      <c r="A36" s="10" t="s">
        <v>85</v>
      </c>
      <c r="B36" s="12">
        <f>'Data Sheet'!G63</f>
        <v>922</v>
      </c>
      <c r="C36" s="12">
        <f>'Data Sheet'!H63</f>
        <v>416</v>
      </c>
      <c r="D36" s="12">
        <f>'Data Sheet'!I63</f>
        <v>288</v>
      </c>
      <c r="E36" s="12">
        <f>'Data Sheet'!J63</f>
        <v>293</v>
      </c>
      <c r="F36" s="12">
        <f>'Data Sheet'!K63</f>
        <v>814</v>
      </c>
      <c r="G36" s="10"/>
      <c r="H36" s="10"/>
      <c r="I36" s="10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</row>
    <row r="37" spans="1:260" ht="21" outlineLevel="1" x14ac:dyDescent="0.25">
      <c r="A37" s="10" t="s">
        <v>15</v>
      </c>
      <c r="B37" s="12">
        <f>'Data Sheet'!G64</f>
        <v>14205</v>
      </c>
      <c r="C37" s="12">
        <f>'Data Sheet'!H64</f>
        <v>20324</v>
      </c>
      <c r="D37" s="12">
        <f>'Data Sheet'!I64</f>
        <v>19478</v>
      </c>
      <c r="E37" s="12">
        <f>'Data Sheet'!J64</f>
        <v>24623</v>
      </c>
      <c r="F37" s="12">
        <f>'Data Sheet'!K64</f>
        <v>23541</v>
      </c>
      <c r="G37" s="10"/>
      <c r="H37" s="10"/>
      <c r="I37" s="10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</row>
    <row r="38" spans="1:260" ht="21" outlineLevel="1" x14ac:dyDescent="0.25">
      <c r="A38" s="10" t="s">
        <v>86</v>
      </c>
      <c r="B38" s="12">
        <f>'Data Sheet'!G65</f>
        <v>66879</v>
      </c>
      <c r="C38" s="12">
        <f>'Data Sheet'!H65</f>
        <v>70189</v>
      </c>
      <c r="D38" s="12">
        <f>'Data Sheet'!I65</f>
        <v>75605</v>
      </c>
      <c r="E38" s="12">
        <f>'Data Sheet'!J65</f>
        <v>84822</v>
      </c>
      <c r="F38" s="12">
        <f>'Data Sheet'!K65</f>
        <v>92479</v>
      </c>
      <c r="G38" s="10"/>
      <c r="H38" s="10"/>
      <c r="I38" s="10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</row>
    <row r="39" spans="1:260" ht="21" outlineLevel="1" x14ac:dyDescent="0.25">
      <c r="A39" s="10" t="s">
        <v>87</v>
      </c>
      <c r="B39" s="12">
        <f>SUM(B35:B38)</f>
        <v>107511</v>
      </c>
      <c r="C39" s="12">
        <f t="shared" ref="C39:F39" si="6">SUM(C35:C38)</f>
        <v>116729</v>
      </c>
      <c r="D39" s="12">
        <f t="shared" si="6"/>
        <v>124596</v>
      </c>
      <c r="E39" s="12">
        <f t="shared" si="6"/>
        <v>137360</v>
      </c>
      <c r="F39" s="12">
        <f t="shared" si="6"/>
        <v>147795</v>
      </c>
      <c r="G39" s="10"/>
      <c r="H39" s="10"/>
      <c r="I39" s="10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</row>
    <row r="40" spans="1:260" ht="21" outlineLevel="1" x14ac:dyDescent="0.25">
      <c r="A40" s="10"/>
      <c r="B40" s="12"/>
      <c r="C40" s="12"/>
      <c r="D40" s="12"/>
      <c r="E40" s="12"/>
      <c r="F40" s="12"/>
      <c r="G40" s="10"/>
      <c r="H40" s="10"/>
      <c r="I40" s="10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</row>
    <row r="41" spans="1:260" ht="21" outlineLevel="1" x14ac:dyDescent="0.25">
      <c r="A41" s="50" t="s">
        <v>88</v>
      </c>
      <c r="B41" s="12"/>
      <c r="C41" s="12"/>
      <c r="D41" s="12"/>
      <c r="E41" s="12"/>
      <c r="F41" s="12"/>
      <c r="G41" s="10"/>
      <c r="H41" s="10"/>
      <c r="I41" s="10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</row>
    <row r="42" spans="1:260" ht="21" outlineLevel="1" x14ac:dyDescent="0.25">
      <c r="A42" s="10" t="s">
        <v>42</v>
      </c>
      <c r="B42" s="12">
        <f>'Data Sheet'!G67</f>
        <v>19294</v>
      </c>
      <c r="C42" s="12">
        <f>'Data Sheet'!H67</f>
        <v>22698</v>
      </c>
      <c r="D42" s="12">
        <f>'Data Sheet'!I67</f>
        <v>25424</v>
      </c>
      <c r="E42" s="12">
        <f>'Data Sheet'!J67</f>
        <v>30193</v>
      </c>
      <c r="F42" s="12">
        <f>'Data Sheet'!K67</f>
        <v>31158</v>
      </c>
      <c r="G42" s="10"/>
      <c r="H42" s="10"/>
      <c r="I42" s="10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</row>
    <row r="43" spans="1:260" ht="21" outlineLevel="1" x14ac:dyDescent="0.25">
      <c r="A43" s="10" t="s">
        <v>89</v>
      </c>
      <c r="B43" s="12">
        <f>'Data Sheet'!G69</f>
        <v>24714</v>
      </c>
      <c r="C43" s="12">
        <f>'Data Sheet'!H69</f>
        <v>17472</v>
      </c>
      <c r="D43" s="12">
        <f>'Data Sheet'!I69</f>
        <v>12173</v>
      </c>
      <c r="E43" s="12">
        <f>'Data Sheet'!J69</f>
        <v>14786</v>
      </c>
      <c r="F43" s="12">
        <f>'Data Sheet'!K69</f>
        <v>24455</v>
      </c>
      <c r="G43" s="10"/>
      <c r="H43" s="10"/>
      <c r="I43" s="10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</row>
    <row r="44" spans="1:260" ht="21" outlineLevel="1" x14ac:dyDescent="0.25">
      <c r="A44" s="10" t="s">
        <v>90</v>
      </c>
      <c r="B44" s="12">
        <f>B31-B43</f>
        <v>-19389</v>
      </c>
      <c r="C44" s="12">
        <f t="shared" ref="C44:F44" si="7">C31-C43</f>
        <v>-11998</v>
      </c>
      <c r="D44" s="12">
        <f t="shared" si="7"/>
        <v>-3874</v>
      </c>
      <c r="E44" s="12">
        <f t="shared" si="7"/>
        <v>-6427</v>
      </c>
      <c r="F44" s="12">
        <f t="shared" si="7"/>
        <v>-16228</v>
      </c>
      <c r="G44" s="10"/>
      <c r="H44" s="10"/>
      <c r="I44" s="10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</row>
    <row r="45" spans="1:260" ht="21" x14ac:dyDescent="0.25">
      <c r="A45" s="10" t="s">
        <v>91</v>
      </c>
      <c r="B45" s="12">
        <f>B39-B33</f>
        <v>0</v>
      </c>
      <c r="C45" s="12">
        <f t="shared" ref="C45:E45" si="8">C39-C33</f>
        <v>0</v>
      </c>
      <c r="D45" s="12">
        <f t="shared" si="8"/>
        <v>0</v>
      </c>
      <c r="E45" s="12">
        <f t="shared" si="8"/>
        <v>0</v>
      </c>
      <c r="F45" s="12">
        <f>F39-F33</f>
        <v>0</v>
      </c>
      <c r="G45" s="10"/>
      <c r="H45" s="10"/>
      <c r="I45" s="10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</row>
    <row r="46" spans="1:260" ht="2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</row>
    <row r="47" spans="1:260" ht="2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</row>
    <row r="48" spans="1:260" ht="21" x14ac:dyDescent="0.25">
      <c r="A48" s="9" t="s">
        <v>92</v>
      </c>
      <c r="B48" s="10"/>
      <c r="C48" s="10"/>
      <c r="D48" s="10"/>
      <c r="E48" s="10"/>
      <c r="F48" s="10"/>
      <c r="G48" s="10"/>
      <c r="H48" s="10"/>
      <c r="I48" s="10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</row>
    <row r="49" spans="1:260" ht="21" x14ac:dyDescent="0.25">
      <c r="A49" s="9" t="s">
        <v>93</v>
      </c>
      <c r="B49" s="9" t="s">
        <v>94</v>
      </c>
      <c r="C49" s="9" t="s">
        <v>95</v>
      </c>
      <c r="D49" s="10"/>
      <c r="E49" s="10"/>
      <c r="F49" s="10"/>
      <c r="G49" s="10"/>
      <c r="H49" s="10"/>
      <c r="I49" s="10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</row>
    <row r="50" spans="1:260" ht="21" x14ac:dyDescent="0.25">
      <c r="A50" s="10" t="s">
        <v>101</v>
      </c>
      <c r="B50" s="51">
        <v>46107</v>
      </c>
      <c r="C50" s="10"/>
      <c r="D50" s="10"/>
      <c r="E50" s="10"/>
      <c r="F50" s="10"/>
      <c r="G50" s="10"/>
      <c r="H50" s="10"/>
      <c r="I50" s="10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</row>
    <row r="51" spans="1:260" ht="21" x14ac:dyDescent="0.25">
      <c r="A51" s="10" t="s">
        <v>102</v>
      </c>
      <c r="B51" s="12" t="s">
        <v>227</v>
      </c>
      <c r="C51" s="10"/>
      <c r="D51" s="10"/>
      <c r="E51" s="10"/>
      <c r="F51" s="10"/>
      <c r="G51" s="10"/>
      <c r="H51" s="10"/>
      <c r="I51" s="1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</row>
    <row r="52" spans="1:260" ht="66" customHeight="1" x14ac:dyDescent="0.25">
      <c r="A52" s="10" t="s">
        <v>103</v>
      </c>
      <c r="B52" s="52">
        <v>3.5000000000000003E-2</v>
      </c>
      <c r="C52" s="85" t="s">
        <v>175</v>
      </c>
      <c r="D52" s="85"/>
      <c r="E52" s="85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</row>
    <row r="53" spans="1:260" ht="21" x14ac:dyDescent="0.25">
      <c r="A53" s="10" t="s">
        <v>104</v>
      </c>
      <c r="B53" s="53">
        <v>5.0000000000000001E-3</v>
      </c>
      <c r="C53" s="86"/>
      <c r="D53" s="86"/>
      <c r="E53" s="86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</row>
    <row r="54" spans="1:260" ht="21" x14ac:dyDescent="0.25">
      <c r="A54" s="10" t="s">
        <v>135</v>
      </c>
      <c r="B54" s="54">
        <f>AVERAGE('Data Sheet'!G86/'Data Sheet'!G17,'Data Sheet'!H86/'Data Sheet'!H17,'Data Sheet'!I86/'Data Sheet'!I17,'Data Sheet'!J86/'Data Sheet'!J17,'Data Sheet'!K86/'Data Sheet'!K17)</f>
        <v>3.5714451833122947E-2</v>
      </c>
      <c r="C54" s="86"/>
      <c r="D54" s="86"/>
      <c r="E54" s="86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</row>
    <row r="55" spans="1:260" ht="21" x14ac:dyDescent="0.25">
      <c r="A55" s="10" t="s">
        <v>136</v>
      </c>
      <c r="B55" s="54">
        <f>AVERAGE(('Data Sheet'!H87-'Data Sheet'!G87)/'Data Sheet'!G17,('Data Sheet'!I87-'Data Sheet'!H87)/'Data Sheet'!I17,('Data Sheet'!J87-'Data Sheet'!I87)/'Data Sheet'!J17,('Data Sheet'!K87-'Data Sheet'!J87)/'Data Sheet'!K17)</f>
        <v>2.2352096538843104E-2</v>
      </c>
      <c r="C55" s="86"/>
      <c r="D55" s="86"/>
      <c r="E55" s="86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</row>
    <row r="56" spans="1:260" ht="100" customHeight="1" x14ac:dyDescent="0.25">
      <c r="A56" s="10" t="s">
        <v>105</v>
      </c>
      <c r="B56" s="54">
        <v>0.06</v>
      </c>
      <c r="C56" s="87" t="str">
        <f>UPPER("Conservative long term growth considering india's GDP")</f>
        <v>CONSERVATIVE LONG TERM GROWTH CONSIDERING INDIA'S GDP</v>
      </c>
      <c r="D56" s="87"/>
      <c r="E56" s="8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</row>
    <row r="57" spans="1:260" ht="19" x14ac:dyDescent="0.25">
      <c r="B57" s="55"/>
      <c r="C57" s="86"/>
      <c r="D57" s="86"/>
      <c r="E57" s="86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</row>
    <row r="58" spans="1:260" ht="21" customHeight="1" x14ac:dyDescent="0.25">
      <c r="A58" s="10" t="s">
        <v>106</v>
      </c>
      <c r="B58" s="53">
        <v>6.7000000000000004E-2</v>
      </c>
      <c r="C58" s="84" t="s">
        <v>176</v>
      </c>
      <c r="D58" s="84"/>
      <c r="E58" s="84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</row>
    <row r="59" spans="1:260" ht="40" customHeight="1" x14ac:dyDescent="0.25">
      <c r="A59" s="15" t="s">
        <v>107</v>
      </c>
      <c r="B59" s="56">
        <v>7.8E-2</v>
      </c>
      <c r="C59" s="84" t="s">
        <v>177</v>
      </c>
      <c r="D59" s="84"/>
      <c r="E59" s="84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</row>
    <row r="60" spans="1:260" ht="21" x14ac:dyDescent="0.25">
      <c r="A60" s="10" t="s">
        <v>130</v>
      </c>
      <c r="B60" s="54">
        <v>0.28000000000000003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</row>
    <row r="61" spans="1:260" ht="19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</row>
    <row r="62" spans="1:260" ht="22" outlineLevel="1" thickBot="1" x14ac:dyDescent="0.3">
      <c r="A62" s="18" t="s">
        <v>108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</row>
    <row r="63" spans="1:260" ht="22" outlineLevel="1" thickTop="1" x14ac:dyDescent="0.25">
      <c r="A63" s="9" t="s">
        <v>109</v>
      </c>
      <c r="B63" s="79" t="s">
        <v>110</v>
      </c>
      <c r="C63" s="79" t="s">
        <v>111</v>
      </c>
      <c r="D63" s="79" t="s">
        <v>112</v>
      </c>
      <c r="E63" s="79" t="s">
        <v>113</v>
      </c>
      <c r="F63" s="79" t="s">
        <v>114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</row>
    <row r="64" spans="1:260" ht="21" outlineLevel="1" x14ac:dyDescent="0.25">
      <c r="A64" s="10" t="s">
        <v>115</v>
      </c>
      <c r="B64" s="53" cm="1">
        <f t="array" ref="B64:F64">CHOOSE(C66,B67:F67,B68:F68,B69:F69)</f>
        <v>3.5000000000000003E-2</v>
      </c>
      <c r="C64" s="53">
        <v>3.0000000000000002E-2</v>
      </c>
      <c r="D64" s="53">
        <v>2.5000000000000001E-2</v>
      </c>
      <c r="E64" s="53">
        <v>0.02</v>
      </c>
      <c r="F64" s="53">
        <v>1.4999999999999999E-2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</row>
    <row r="65" spans="1:260" ht="21" outlineLevel="1" x14ac:dyDescent="0.25">
      <c r="A65" s="10" t="s">
        <v>116</v>
      </c>
      <c r="B65" s="57">
        <f>F3*(1+B64)</f>
        <v>168694.65</v>
      </c>
      <c r="C65" s="57">
        <f>B65*(1+C64)</f>
        <v>173755.4895</v>
      </c>
      <c r="D65" s="57">
        <f t="shared" ref="D65:F65" si="9">C65*(1+D64)</f>
        <v>178099.37673749999</v>
      </c>
      <c r="E65" s="57">
        <f t="shared" si="9"/>
        <v>181661.36427224998</v>
      </c>
      <c r="F65" s="57">
        <f t="shared" si="9"/>
        <v>184386.28473633371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</row>
    <row r="66" spans="1:260" ht="21" outlineLevel="1" x14ac:dyDescent="0.25">
      <c r="A66" s="10" t="s">
        <v>117</v>
      </c>
      <c r="B66" s="55" t="s">
        <v>119</v>
      </c>
      <c r="C66" s="58">
        <f>MATCH(B66,A67:A69,0)</f>
        <v>1</v>
      </c>
      <c r="D66" s="55"/>
      <c r="E66" s="55"/>
      <c r="F66" s="55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</row>
    <row r="67" spans="1:260" ht="21" outlineLevel="1" x14ac:dyDescent="0.25">
      <c r="A67" s="19" t="s">
        <v>119</v>
      </c>
      <c r="B67" s="53">
        <f>B52</f>
        <v>3.5000000000000003E-2</v>
      </c>
      <c r="C67" s="53">
        <f>B67-$B$53</f>
        <v>3.0000000000000002E-2</v>
      </c>
      <c r="D67" s="53">
        <f t="shared" ref="D67:E67" si="10">C67-$B$53</f>
        <v>2.5000000000000001E-2</v>
      </c>
      <c r="E67" s="53">
        <f t="shared" si="10"/>
        <v>0.02</v>
      </c>
      <c r="F67" s="53">
        <f>E67-$B$53</f>
        <v>1.4999999999999999E-2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</row>
    <row r="68" spans="1:260" ht="21" outlineLevel="1" x14ac:dyDescent="0.25">
      <c r="A68" s="19" t="s">
        <v>118</v>
      </c>
      <c r="B68" s="53">
        <f>B67+3%</f>
        <v>6.5000000000000002E-2</v>
      </c>
      <c r="C68" s="53">
        <f>B68-$B$53</f>
        <v>6.0000000000000005E-2</v>
      </c>
      <c r="D68" s="53">
        <f t="shared" ref="D68:F68" si="11">C68-$B$53</f>
        <v>5.5000000000000007E-2</v>
      </c>
      <c r="E68" s="53">
        <f t="shared" si="11"/>
        <v>5.000000000000001E-2</v>
      </c>
      <c r="F68" s="53">
        <f t="shared" si="11"/>
        <v>4.5000000000000012E-2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</row>
    <row r="69" spans="1:260" ht="21" outlineLevel="1" x14ac:dyDescent="0.25">
      <c r="A69" s="19" t="s">
        <v>120</v>
      </c>
      <c r="B69" s="53">
        <f>B67-1%</f>
        <v>2.5000000000000001E-2</v>
      </c>
      <c r="C69" s="53">
        <f>B69-$B$53</f>
        <v>0.02</v>
      </c>
      <c r="D69" s="53">
        <f t="shared" ref="D69:F69" si="12">C69-$B$53</f>
        <v>1.4999999999999999E-2</v>
      </c>
      <c r="E69" s="53">
        <f t="shared" si="12"/>
        <v>9.9999999999999985E-3</v>
      </c>
      <c r="F69" s="53">
        <f t="shared" si="12"/>
        <v>4.9999999999999984E-3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</row>
    <row r="70" spans="1:260" ht="19" outlineLevel="1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</row>
    <row r="71" spans="1:260" ht="31" customHeight="1" outlineLevel="1" x14ac:dyDescent="0.25">
      <c r="B71" s="8"/>
      <c r="C71" s="8"/>
      <c r="D71" s="8"/>
      <c r="E71" s="8"/>
      <c r="F71" s="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</row>
    <row r="72" spans="1:260" ht="21" outlineLevel="1" x14ac:dyDescent="0.25">
      <c r="A72" s="21" t="s">
        <v>121</v>
      </c>
      <c r="B72" s="21"/>
      <c r="C72" s="21"/>
      <c r="D72" s="21"/>
      <c r="E72" s="21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</row>
    <row r="73" spans="1:260" ht="21" outlineLevel="1" x14ac:dyDescent="0.25">
      <c r="A73" s="23" t="s">
        <v>55</v>
      </c>
      <c r="B73" s="59" t="s">
        <v>96</v>
      </c>
      <c r="C73" s="59" t="s">
        <v>97</v>
      </c>
      <c r="D73" s="59" t="s">
        <v>98</v>
      </c>
      <c r="E73" s="59" t="s">
        <v>99</v>
      </c>
      <c r="F73" s="59" t="s">
        <v>100</v>
      </c>
      <c r="G73" s="12"/>
      <c r="H73" s="12"/>
      <c r="I73" s="12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</row>
    <row r="74" spans="1:260" ht="21" outlineLevel="1" x14ac:dyDescent="0.25">
      <c r="A74" s="10" t="s">
        <v>122</v>
      </c>
      <c r="B74" s="60">
        <f t="shared" ref="B74:F74" si="13">B65</f>
        <v>168694.65</v>
      </c>
      <c r="C74" s="60">
        <f t="shared" si="13"/>
        <v>173755.4895</v>
      </c>
      <c r="D74" s="60">
        <f t="shared" si="13"/>
        <v>178099.37673749999</v>
      </c>
      <c r="E74" s="60">
        <f t="shared" si="13"/>
        <v>181661.36427224998</v>
      </c>
      <c r="F74" s="60">
        <f t="shared" si="13"/>
        <v>184386.28473633371</v>
      </c>
      <c r="G74" s="12"/>
      <c r="H74" s="12"/>
      <c r="I74" s="12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</row>
    <row r="75" spans="1:260" ht="21" outlineLevel="1" x14ac:dyDescent="0.25">
      <c r="A75" s="10" t="s">
        <v>123</v>
      </c>
      <c r="B75" s="13">
        <f>F11</f>
        <v>0.24072642493404503</v>
      </c>
      <c r="C75" s="13">
        <f t="shared" ref="C75:F75" si="14">B75</f>
        <v>0.24072642493404503</v>
      </c>
      <c r="D75" s="13">
        <f t="shared" si="14"/>
        <v>0.24072642493404503</v>
      </c>
      <c r="E75" s="13">
        <f t="shared" si="14"/>
        <v>0.24072642493404503</v>
      </c>
      <c r="F75" s="13">
        <f t="shared" si="14"/>
        <v>0.24072642493404503</v>
      </c>
      <c r="G75" s="12"/>
      <c r="H75" s="12"/>
      <c r="I75" s="12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</row>
    <row r="76" spans="1:260" ht="21" outlineLevel="1" x14ac:dyDescent="0.25">
      <c r="A76" s="10" t="s">
        <v>124</v>
      </c>
      <c r="B76" s="61">
        <f>B74*B75</f>
        <v>40609.259999999995</v>
      </c>
      <c r="C76" s="61">
        <f t="shared" ref="C76:F76" si="15">C74*C75</f>
        <v>41827.537799999998</v>
      </c>
      <c r="D76" s="61">
        <f t="shared" si="15"/>
        <v>42873.226244999998</v>
      </c>
      <c r="E76" s="61">
        <f t="shared" si="15"/>
        <v>43730.690769899993</v>
      </c>
      <c r="F76" s="61">
        <f t="shared" si="15"/>
        <v>44386.651131448489</v>
      </c>
      <c r="G76" s="12"/>
      <c r="H76" s="12"/>
      <c r="I76" s="12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</row>
    <row r="77" spans="1:260" ht="21" outlineLevel="1" x14ac:dyDescent="0.25">
      <c r="A77" s="10" t="s">
        <v>125</v>
      </c>
      <c r="B77" s="61">
        <f t="shared" ref="B77:F77" si="16">B74*AVERAGE($B$14:$F$14)</f>
        <v>5055.5991053479211</v>
      </c>
      <c r="C77" s="61">
        <f t="shared" si="16"/>
        <v>5207.2670785083592</v>
      </c>
      <c r="D77" s="61">
        <f t="shared" si="16"/>
        <v>5337.4487554710677</v>
      </c>
      <c r="E77" s="61">
        <f t="shared" si="16"/>
        <v>5444.1977305804885</v>
      </c>
      <c r="F77" s="61">
        <f t="shared" si="16"/>
        <v>5525.8606965391955</v>
      </c>
      <c r="G77" s="12"/>
      <c r="H77" s="12"/>
      <c r="I77" s="12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</row>
    <row r="78" spans="1:260" ht="21" outlineLevel="1" x14ac:dyDescent="0.25">
      <c r="A78" s="10" t="s">
        <v>70</v>
      </c>
      <c r="B78" s="61">
        <f>B76-B77</f>
        <v>35553.660894652072</v>
      </c>
      <c r="C78" s="61">
        <f t="shared" ref="C78:F78" si="17">C76-C77</f>
        <v>36620.270721491637</v>
      </c>
      <c r="D78" s="61">
        <f t="shared" si="17"/>
        <v>37535.777489528933</v>
      </c>
      <c r="E78" s="61">
        <f t="shared" si="17"/>
        <v>38286.493039319503</v>
      </c>
      <c r="F78" s="61">
        <f t="shared" si="17"/>
        <v>38860.790434909293</v>
      </c>
      <c r="G78" s="12"/>
      <c r="H78" s="12"/>
      <c r="I78" s="12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</row>
    <row r="79" spans="1:260" ht="21" outlineLevel="1" x14ac:dyDescent="0.25">
      <c r="A79" s="10" t="s">
        <v>126</v>
      </c>
      <c r="B79" s="61">
        <f>B78*tax_rate</f>
        <v>9955.0250505025815</v>
      </c>
      <c r="C79" s="61">
        <f>C78*tax_rate</f>
        <v>10253.675802017658</v>
      </c>
      <c r="D79" s="61">
        <f>D78*tax_rate</f>
        <v>10510.017697068102</v>
      </c>
      <c r="E79" s="61">
        <f>E78*tax_rate</f>
        <v>10720.218051009462</v>
      </c>
      <c r="F79" s="61">
        <f>F78*tax_rate</f>
        <v>10881.021321774602</v>
      </c>
      <c r="G79" s="12"/>
      <c r="H79" s="12"/>
      <c r="I79" s="12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</row>
    <row r="80" spans="1:260" ht="21" outlineLevel="1" x14ac:dyDescent="0.25">
      <c r="A80" s="10" t="s">
        <v>127</v>
      </c>
      <c r="B80" s="61">
        <f>B78-B79</f>
        <v>25598.635844149489</v>
      </c>
      <c r="C80" s="61">
        <f t="shared" ref="C80:F80" si="18">C78-C79</f>
        <v>26366.594919473981</v>
      </c>
      <c r="D80" s="61">
        <f t="shared" si="18"/>
        <v>27025.759792460831</v>
      </c>
      <c r="E80" s="61">
        <f t="shared" si="18"/>
        <v>27566.27498831004</v>
      </c>
      <c r="F80" s="61">
        <f t="shared" si="18"/>
        <v>27979.769113134691</v>
      </c>
      <c r="G80" s="12"/>
      <c r="H80" s="12"/>
      <c r="I80" s="12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</row>
    <row r="81" spans="1:260" ht="21" outlineLevel="1" x14ac:dyDescent="0.25">
      <c r="A81" s="10" t="s">
        <v>132</v>
      </c>
      <c r="B81" s="61">
        <f t="shared" ref="B81:F81" si="19">B77</f>
        <v>5055.5991053479211</v>
      </c>
      <c r="C81" s="61">
        <f t="shared" si="19"/>
        <v>5207.2670785083592</v>
      </c>
      <c r="D81" s="61">
        <f t="shared" si="19"/>
        <v>5337.4487554710677</v>
      </c>
      <c r="E81" s="61">
        <f t="shared" si="19"/>
        <v>5444.1977305804885</v>
      </c>
      <c r="F81" s="61">
        <f t="shared" si="19"/>
        <v>5525.8606965391955</v>
      </c>
      <c r="G81" s="12"/>
      <c r="H81" s="12"/>
      <c r="I81" s="12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</row>
    <row r="82" spans="1:260" ht="21" outlineLevel="1" x14ac:dyDescent="0.25">
      <c r="A82" s="10" t="s">
        <v>128</v>
      </c>
      <c r="B82" s="61">
        <f>B74*($B$54+$B$55)</f>
        <v>9795.5160543168822</v>
      </c>
      <c r="C82" s="61">
        <f t="shared" ref="C82:F82" si="20">C74*($B$54+$B$55)</f>
        <v>10089.38153594639</v>
      </c>
      <c r="D82" s="61">
        <f t="shared" si="20"/>
        <v>10341.616074345049</v>
      </c>
      <c r="E82" s="61">
        <f t="shared" si="20"/>
        <v>10548.448395831949</v>
      </c>
      <c r="F82" s="61">
        <f t="shared" si="20"/>
        <v>10706.675121769427</v>
      </c>
      <c r="G82" s="12"/>
      <c r="H82" s="12"/>
      <c r="I82" s="12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</row>
    <row r="83" spans="1:260" ht="21" outlineLevel="1" x14ac:dyDescent="0.25">
      <c r="A83" s="22" t="s">
        <v>129</v>
      </c>
      <c r="B83" s="62">
        <f>B80+B81-B82</f>
        <v>20858.718895180529</v>
      </c>
      <c r="C83" s="62">
        <f t="shared" ref="C83:F83" si="21">C80+C81-C82</f>
        <v>21484.48046203595</v>
      </c>
      <c r="D83" s="62">
        <f t="shared" si="21"/>
        <v>22021.59247358685</v>
      </c>
      <c r="E83" s="62">
        <f t="shared" si="21"/>
        <v>22462.024323058584</v>
      </c>
      <c r="F83" s="62">
        <f t="shared" si="21"/>
        <v>22798.954687904465</v>
      </c>
      <c r="G83" s="12"/>
      <c r="H83" s="12"/>
      <c r="I83" s="12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</row>
    <row r="84" spans="1:260" ht="21" x14ac:dyDescent="0.25">
      <c r="A84" s="10"/>
      <c r="B84" s="12"/>
      <c r="C84" s="12"/>
      <c r="D84" s="12"/>
      <c r="E84" s="12"/>
      <c r="F84" s="12"/>
      <c r="G84" s="12"/>
      <c r="H84" s="12"/>
      <c r="I84" s="12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</row>
    <row r="85" spans="1:260" ht="44" customHeight="1" outlineLevel="1" x14ac:dyDescent="0.25">
      <c r="A85" s="26" t="s">
        <v>137</v>
      </c>
      <c r="B85" s="63"/>
      <c r="C85" s="63"/>
      <c r="D85" s="63"/>
      <c r="E85" s="63"/>
      <c r="F85" s="63"/>
      <c r="G85" s="12"/>
      <c r="H85" s="12"/>
      <c r="I85" s="12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</row>
    <row r="86" spans="1:260" ht="21" outlineLevel="1" x14ac:dyDescent="0.25">
      <c r="A86" s="10"/>
      <c r="B86" s="12"/>
      <c r="C86" s="12"/>
      <c r="D86" s="12"/>
      <c r="E86" s="12"/>
      <c r="F86" s="12"/>
      <c r="G86" s="12"/>
      <c r="H86" s="12"/>
      <c r="I86" s="12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</row>
    <row r="87" spans="1:260" ht="21" outlineLevel="1" x14ac:dyDescent="0.25">
      <c r="A87" s="17" t="s">
        <v>138</v>
      </c>
      <c r="B87" s="12"/>
      <c r="C87" s="12"/>
      <c r="D87" s="12"/>
      <c r="E87" s="12"/>
      <c r="F87" s="12"/>
      <c r="G87" s="12"/>
      <c r="H87" s="12"/>
      <c r="I87" s="12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</row>
    <row r="88" spans="1:260" ht="21" outlineLevel="1" x14ac:dyDescent="0.25">
      <c r="A88" s="10" t="s">
        <v>139</v>
      </c>
      <c r="B88" s="13">
        <f>CCM!E17</f>
        <v>1.5841735146889132E-2</v>
      </c>
      <c r="C88" s="12"/>
      <c r="D88" s="12"/>
      <c r="E88" s="12"/>
      <c r="F88" s="12"/>
      <c r="G88" s="12"/>
      <c r="H88" s="12"/>
      <c r="I88" s="12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</row>
    <row r="89" spans="1:260" ht="21" outlineLevel="1" x14ac:dyDescent="0.25">
      <c r="A89" s="10" t="s">
        <v>140</v>
      </c>
      <c r="B89" s="13">
        <f>1-B88</f>
        <v>0.98415826485311086</v>
      </c>
      <c r="C89" s="12"/>
      <c r="D89" s="12"/>
      <c r="E89" s="12"/>
      <c r="F89" s="12"/>
      <c r="G89" s="12"/>
      <c r="H89" s="12"/>
      <c r="I89" s="12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</row>
    <row r="90" spans="1:260" ht="21" outlineLevel="1" x14ac:dyDescent="0.25">
      <c r="A90" s="17" t="s">
        <v>141</v>
      </c>
      <c r="B90" s="12"/>
      <c r="C90" s="12"/>
      <c r="D90" s="12"/>
      <c r="E90" s="12"/>
      <c r="F90" s="12"/>
      <c r="G90" s="12"/>
      <c r="H90" s="12"/>
      <c r="I90" s="12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</row>
    <row r="91" spans="1:260" ht="21" outlineLevel="1" x14ac:dyDescent="0.25">
      <c r="A91" s="10" t="s">
        <v>142</v>
      </c>
      <c r="B91" s="61">
        <f>CCM!C4</f>
        <v>518406.02</v>
      </c>
      <c r="C91" s="12"/>
      <c r="D91" s="12"/>
      <c r="E91" s="12"/>
      <c r="F91" s="12"/>
      <c r="G91" s="12"/>
      <c r="H91" s="12"/>
      <c r="I91" s="12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</row>
    <row r="92" spans="1:260" ht="21" outlineLevel="1" x14ac:dyDescent="0.25">
      <c r="A92" s="10" t="s">
        <v>143</v>
      </c>
      <c r="B92" s="12">
        <f>CCM!J4</f>
        <v>8796</v>
      </c>
      <c r="C92" s="12"/>
      <c r="D92" s="12"/>
      <c r="E92" s="12"/>
      <c r="F92" s="12"/>
      <c r="G92" s="12"/>
      <c r="H92" s="12"/>
      <c r="I92" s="12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</row>
    <row r="93" spans="1:260" ht="21" outlineLevel="1" x14ac:dyDescent="0.25">
      <c r="A93" s="10" t="s">
        <v>144</v>
      </c>
      <c r="B93" s="13">
        <f>DCF!B92/DCF!B91</f>
        <v>1.6967395556093272E-2</v>
      </c>
      <c r="C93" s="12"/>
      <c r="D93" s="12"/>
      <c r="E93" s="12"/>
      <c r="F93" s="12"/>
      <c r="G93" s="12"/>
      <c r="H93" s="12"/>
      <c r="I93" s="12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</row>
    <row r="94" spans="1:260" ht="21" outlineLevel="1" x14ac:dyDescent="0.25">
      <c r="A94" s="17" t="s">
        <v>145</v>
      </c>
      <c r="B94" s="12"/>
      <c r="C94" s="12"/>
      <c r="D94" s="12"/>
      <c r="E94" s="12"/>
      <c r="F94" s="12"/>
      <c r="G94" s="12"/>
      <c r="H94" s="12"/>
      <c r="I94" s="12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</row>
    <row r="95" spans="1:260" ht="21" outlineLevel="1" x14ac:dyDescent="0.25">
      <c r="A95" s="10" t="s">
        <v>146</v>
      </c>
      <c r="B95" s="13">
        <f>F18/AVERAGE(E31:F31)</f>
        <v>5.0162787893404073E-2</v>
      </c>
      <c r="C95" s="12"/>
      <c r="D95" s="12"/>
      <c r="E95" s="12"/>
      <c r="F95" s="12"/>
      <c r="G95" s="12"/>
      <c r="H95" s="12"/>
      <c r="I95" s="12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</row>
    <row r="96" spans="1:260" ht="21" outlineLevel="1" x14ac:dyDescent="0.25">
      <c r="A96" s="10" t="s">
        <v>130</v>
      </c>
      <c r="B96" s="13">
        <f>tax_rate</f>
        <v>0.28000000000000003</v>
      </c>
      <c r="C96" s="12"/>
      <c r="D96" s="12"/>
      <c r="E96" s="12"/>
      <c r="F96" s="12"/>
      <c r="G96" s="12"/>
      <c r="H96" s="12"/>
      <c r="I96" s="12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</row>
    <row r="97" spans="1:260" ht="21" outlineLevel="1" x14ac:dyDescent="0.25">
      <c r="A97" s="10" t="s">
        <v>147</v>
      </c>
      <c r="B97" s="13">
        <f>B95*(1-B96)</f>
        <v>3.6117207283250928E-2</v>
      </c>
      <c r="C97" s="12"/>
      <c r="D97" s="12"/>
      <c r="E97" s="12"/>
      <c r="F97" s="12"/>
      <c r="G97" s="12"/>
      <c r="H97" s="12"/>
      <c r="I97" s="12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</row>
    <row r="98" spans="1:260" ht="21" outlineLevel="1" x14ac:dyDescent="0.25">
      <c r="A98" s="17" t="s">
        <v>148</v>
      </c>
      <c r="B98" s="12"/>
      <c r="C98" s="12"/>
      <c r="D98" s="12"/>
      <c r="E98" s="12"/>
      <c r="F98" s="12"/>
      <c r="G98" s="12"/>
      <c r="H98" s="12"/>
      <c r="I98" s="12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</row>
    <row r="99" spans="1:260" ht="21" outlineLevel="1" x14ac:dyDescent="0.25">
      <c r="A99" s="10" t="s">
        <v>106</v>
      </c>
      <c r="B99" s="52">
        <f>B58</f>
        <v>6.7000000000000004E-2</v>
      </c>
      <c r="C99" s="12"/>
      <c r="D99" s="12"/>
      <c r="E99" s="12"/>
      <c r="F99" s="12"/>
      <c r="G99" s="12"/>
      <c r="H99" s="12"/>
      <c r="I99" s="12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</row>
    <row r="100" spans="1:260" ht="21" outlineLevel="1" x14ac:dyDescent="0.25">
      <c r="A100" s="10" t="s">
        <v>107</v>
      </c>
      <c r="B100" s="52">
        <f>B59</f>
        <v>7.8E-2</v>
      </c>
      <c r="C100" s="12"/>
      <c r="D100" s="12"/>
      <c r="E100" s="12"/>
      <c r="F100" s="12"/>
      <c r="G100" s="12"/>
      <c r="H100" s="12"/>
      <c r="I100" s="12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</row>
    <row r="101" spans="1:260" ht="21" outlineLevel="1" x14ac:dyDescent="0.25">
      <c r="A101" s="10" t="s">
        <v>149</v>
      </c>
      <c r="B101" s="64">
        <f>CCM!H17*(1+DCF!B93*(1-DCF!B96))</f>
        <v>0.85212786694702325</v>
      </c>
      <c r="C101" s="12"/>
      <c r="D101" s="12"/>
      <c r="E101" s="12"/>
      <c r="F101" s="12"/>
      <c r="G101" s="12"/>
      <c r="H101" s="12"/>
      <c r="I101" s="12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</row>
    <row r="102" spans="1:260" ht="21" outlineLevel="1" x14ac:dyDescent="0.25">
      <c r="A102" s="10" t="s">
        <v>150</v>
      </c>
      <c r="B102" s="13">
        <f>B99+B101*B100</f>
        <v>0.13346597362186782</v>
      </c>
      <c r="C102" s="12"/>
      <c r="D102" s="12"/>
      <c r="E102" s="12"/>
      <c r="F102" s="12"/>
      <c r="G102" s="12"/>
      <c r="H102" s="12"/>
      <c r="I102" s="12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</row>
    <row r="103" spans="1:260" ht="21" outlineLevel="1" x14ac:dyDescent="0.25">
      <c r="A103" s="17" t="s">
        <v>137</v>
      </c>
      <c r="B103" s="13">
        <f>(B102*B89)+(B97*B88)</f>
        <v>0.13192380024865505</v>
      </c>
      <c r="C103" s="12"/>
      <c r="D103" s="12"/>
      <c r="E103" s="12"/>
      <c r="F103" s="12"/>
      <c r="G103" s="12"/>
      <c r="H103" s="12"/>
      <c r="I103" s="12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</row>
    <row r="104" spans="1:260" ht="21" outlineLevel="1" x14ac:dyDescent="0.25">
      <c r="A104" s="10"/>
      <c r="B104" s="12"/>
      <c r="C104" s="12"/>
      <c r="D104" s="12"/>
      <c r="E104" s="12"/>
      <c r="F104" s="12"/>
      <c r="G104" s="12"/>
      <c r="H104" s="12"/>
      <c r="I104" s="12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</row>
    <row r="105" spans="1:260" ht="21" x14ac:dyDescent="0.25">
      <c r="A105" s="36" t="s">
        <v>178</v>
      </c>
      <c r="B105" s="63"/>
      <c r="C105" s="63"/>
      <c r="D105" s="12"/>
      <c r="E105" s="12"/>
      <c r="F105" s="12"/>
      <c r="G105" s="12"/>
      <c r="H105" s="12"/>
      <c r="I105" s="12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</row>
    <row r="106" spans="1:260" ht="21" x14ac:dyDescent="0.25">
      <c r="A106" s="10" t="s">
        <v>179</v>
      </c>
      <c r="B106" s="61">
        <f>F83</f>
        <v>22798.954687904465</v>
      </c>
      <c r="C106" s="12"/>
      <c r="D106" s="12"/>
      <c r="E106" s="12"/>
      <c r="F106" s="12"/>
      <c r="G106" s="12"/>
      <c r="H106" s="12"/>
      <c r="I106" s="12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</row>
    <row r="107" spans="1:260" ht="21" x14ac:dyDescent="0.25">
      <c r="A107" s="10" t="s">
        <v>180</v>
      </c>
      <c r="B107" s="13">
        <f>B56</f>
        <v>0.06</v>
      </c>
      <c r="C107" s="12"/>
      <c r="D107" s="12"/>
      <c r="E107" s="12"/>
      <c r="F107" s="12"/>
      <c r="G107" s="12"/>
      <c r="H107" s="12"/>
      <c r="I107" s="12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</row>
    <row r="108" spans="1:260" ht="21" x14ac:dyDescent="0.25">
      <c r="A108" s="10" t="s">
        <v>181</v>
      </c>
      <c r="B108" s="12"/>
      <c r="C108" s="12"/>
      <c r="D108" s="12"/>
      <c r="E108" s="12"/>
      <c r="F108" s="12"/>
      <c r="G108" s="12"/>
      <c r="H108" s="12"/>
      <c r="I108" s="12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</row>
    <row r="109" spans="1:260" ht="21" x14ac:dyDescent="0.25">
      <c r="A109" s="10" t="s">
        <v>182</v>
      </c>
      <c r="B109" s="60">
        <f>B106*(1+B107)/(B103-B107)</f>
        <v>336006.88347430091</v>
      </c>
      <c r="C109" s="12"/>
      <c r="D109" s="12"/>
      <c r="E109" s="12"/>
      <c r="F109" s="12"/>
      <c r="G109" s="12"/>
      <c r="H109" s="12"/>
      <c r="I109" s="12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</row>
    <row r="110" spans="1:260" ht="21" x14ac:dyDescent="0.25">
      <c r="A110" s="10"/>
      <c r="B110" s="12"/>
      <c r="C110" s="12"/>
      <c r="D110" s="12"/>
      <c r="E110" s="12"/>
      <c r="F110" s="12"/>
      <c r="G110" s="12"/>
      <c r="H110" s="12"/>
      <c r="I110" s="12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</row>
    <row r="111" spans="1:260" ht="21" x14ac:dyDescent="0.25">
      <c r="A111" s="36" t="s">
        <v>183</v>
      </c>
      <c r="B111" s="63"/>
      <c r="C111" s="63"/>
      <c r="D111" s="12"/>
      <c r="E111" s="12"/>
      <c r="F111" s="12"/>
      <c r="G111" s="12"/>
      <c r="H111" s="12"/>
      <c r="I111" s="12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</row>
    <row r="112" spans="1:260" ht="21" x14ac:dyDescent="0.25">
      <c r="A112" s="10"/>
      <c r="B112" s="12"/>
      <c r="C112" s="12"/>
      <c r="D112" s="12"/>
      <c r="E112" s="12"/>
      <c r="F112" s="12"/>
      <c r="G112" s="12"/>
      <c r="H112" s="12"/>
      <c r="I112" s="12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</row>
    <row r="113" spans="1:260" ht="21" x14ac:dyDescent="0.25">
      <c r="A113" s="9" t="s">
        <v>109</v>
      </c>
      <c r="B113" s="65" t="s">
        <v>184</v>
      </c>
      <c r="C113" s="65" t="s">
        <v>185</v>
      </c>
      <c r="D113" s="65" t="s">
        <v>186</v>
      </c>
      <c r="E113" s="65" t="s">
        <v>187</v>
      </c>
      <c r="F113" s="65" t="s">
        <v>188</v>
      </c>
      <c r="G113" s="65" t="s">
        <v>192</v>
      </c>
      <c r="H113" s="12"/>
      <c r="I113" s="12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</row>
    <row r="114" spans="1:260" ht="21" x14ac:dyDescent="0.25">
      <c r="A114" s="10" t="s">
        <v>189</v>
      </c>
      <c r="B114" s="61">
        <f t="shared" ref="B114:F114" si="22">B83</f>
        <v>20858.718895180529</v>
      </c>
      <c r="C114" s="61">
        <f t="shared" si="22"/>
        <v>21484.48046203595</v>
      </c>
      <c r="D114" s="61">
        <f t="shared" si="22"/>
        <v>22021.59247358685</v>
      </c>
      <c r="E114" s="61">
        <f t="shared" si="22"/>
        <v>22462.024323058584</v>
      </c>
      <c r="F114" s="61">
        <f t="shared" si="22"/>
        <v>22798.954687904465</v>
      </c>
      <c r="G114" s="60">
        <f>B109</f>
        <v>336006.88347430091</v>
      </c>
      <c r="H114" s="12"/>
      <c r="I114" s="12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</row>
    <row r="115" spans="1:260" ht="21" x14ac:dyDescent="0.25">
      <c r="A115" s="10" t="s">
        <v>190</v>
      </c>
      <c r="B115" s="64">
        <f>1/(1+$B$103)^1</f>
        <v>0.88345169505255139</v>
      </c>
      <c r="C115" s="64">
        <f>1/(1+$B$103)^2</f>
        <v>0.78048689749122624</v>
      </c>
      <c r="D115" s="64">
        <f>1/(1+$B$103)^3</f>
        <v>0.68952247255493071</v>
      </c>
      <c r="E115" s="64">
        <f>1/(1+$B$103)^4</f>
        <v>0.60915979715547997</v>
      </c>
      <c r="F115" s="64">
        <f>1/(1+$B$103)^5</f>
        <v>0.53816325535487719</v>
      </c>
      <c r="G115" s="64">
        <f>1/(1+$B$103)^5</f>
        <v>0.53816325535487719</v>
      </c>
      <c r="H115" s="12"/>
      <c r="I115" s="12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</row>
    <row r="116" spans="1:260" ht="21" x14ac:dyDescent="0.25">
      <c r="A116" s="10" t="s">
        <v>191</v>
      </c>
      <c r="B116" s="60">
        <f t="shared" ref="B116:G116" si="23">B114*B115</f>
        <v>18427.670564571919</v>
      </c>
      <c r="C116" s="60">
        <f t="shared" si="23"/>
        <v>16768.355500025307</v>
      </c>
      <c r="D116" s="60">
        <f t="shared" si="23"/>
        <v>15184.382891984658</v>
      </c>
      <c r="E116" s="60">
        <f t="shared" si="23"/>
        <v>13682.962180335824</v>
      </c>
      <c r="F116" s="60">
        <f t="shared" si="23"/>
        <v>12269.559673531005</v>
      </c>
      <c r="G116" s="60">
        <f t="shared" si="23"/>
        <v>180826.55823217667</v>
      </c>
      <c r="H116" s="12"/>
      <c r="I116" s="12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  <c r="IZ116" s="8"/>
    </row>
    <row r="117" spans="1:260" ht="21" x14ac:dyDescent="0.25">
      <c r="A117" s="10"/>
      <c r="B117" s="12"/>
      <c r="C117" s="12"/>
      <c r="D117" s="12"/>
      <c r="E117" s="12"/>
      <c r="F117" s="12"/>
      <c r="G117" s="12"/>
      <c r="H117" s="12"/>
      <c r="I117" s="12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</row>
    <row r="118" spans="1:260" ht="57" customHeight="1" x14ac:dyDescent="0.25">
      <c r="A118" s="26" t="s">
        <v>193</v>
      </c>
      <c r="B118" s="12"/>
      <c r="C118" s="12"/>
      <c r="D118" s="12"/>
      <c r="E118" s="12"/>
      <c r="F118" s="12"/>
      <c r="G118" s="12"/>
      <c r="H118" s="12"/>
      <c r="I118" s="12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</row>
    <row r="119" spans="1:260" ht="21" x14ac:dyDescent="0.25">
      <c r="A119" s="10"/>
      <c r="B119" s="12"/>
      <c r="C119" s="12"/>
      <c r="D119" s="12"/>
      <c r="E119" s="12"/>
      <c r="F119" s="12"/>
      <c r="G119" s="12"/>
      <c r="H119" s="12"/>
      <c r="I119" s="12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</row>
    <row r="120" spans="1:260" ht="24" x14ac:dyDescent="0.3">
      <c r="A120" s="66" t="s">
        <v>194</v>
      </c>
      <c r="B120" s="66"/>
      <c r="C120" s="66"/>
      <c r="D120" s="12"/>
      <c r="E120" s="12"/>
      <c r="F120" s="12"/>
      <c r="G120" s="12"/>
      <c r="H120" s="12"/>
      <c r="I120" s="12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</row>
    <row r="121" spans="1:260" ht="24" x14ac:dyDescent="0.3">
      <c r="A121" s="67">
        <f>SUM(B116:G116)</f>
        <v>257159.48904262538</v>
      </c>
      <c r="B121" s="66"/>
      <c r="C121" s="66"/>
      <c r="D121" s="12"/>
      <c r="E121" s="12"/>
      <c r="F121" s="12"/>
      <c r="G121" s="12"/>
      <c r="H121" s="12"/>
      <c r="I121" s="12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</row>
    <row r="122" spans="1:260" ht="24" x14ac:dyDescent="0.3">
      <c r="A122" s="66"/>
      <c r="B122" s="66"/>
      <c r="C122" s="66"/>
      <c r="D122" s="12"/>
      <c r="E122" s="12"/>
      <c r="F122" s="12"/>
      <c r="G122" s="12"/>
      <c r="H122" s="12"/>
      <c r="I122" s="12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IW122" s="8"/>
      <c r="IX122" s="8"/>
      <c r="IY122" s="8"/>
      <c r="IZ122" s="8"/>
    </row>
    <row r="123" spans="1:260" ht="24" x14ac:dyDescent="0.3">
      <c r="A123" s="66" t="s">
        <v>195</v>
      </c>
      <c r="B123" s="66"/>
      <c r="C123" s="66"/>
      <c r="D123" s="12"/>
      <c r="E123" s="12"/>
      <c r="F123" s="12"/>
      <c r="G123" s="12"/>
      <c r="H123" s="12"/>
      <c r="I123" s="12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  <c r="IZ123" s="8"/>
    </row>
    <row r="124" spans="1:260" ht="24" x14ac:dyDescent="0.3">
      <c r="A124" s="67">
        <f>G116</f>
        <v>180826.55823217667</v>
      </c>
      <c r="B124" s="66"/>
      <c r="C124" s="66"/>
      <c r="D124" s="12"/>
      <c r="E124" s="12"/>
      <c r="F124" s="12"/>
      <c r="G124" s="12"/>
      <c r="H124" s="12"/>
      <c r="I124" s="12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  <c r="IZ124" s="8"/>
    </row>
    <row r="125" spans="1:260" ht="24" x14ac:dyDescent="0.3">
      <c r="A125" s="66"/>
      <c r="B125" s="66"/>
      <c r="C125" s="66"/>
      <c r="D125" s="12"/>
      <c r="E125" s="12"/>
      <c r="F125" s="12"/>
      <c r="G125" s="12"/>
      <c r="H125" s="12"/>
      <c r="I125" s="12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</row>
    <row r="126" spans="1:260" ht="24" x14ac:dyDescent="0.3">
      <c r="A126" s="66" t="s">
        <v>196</v>
      </c>
      <c r="B126" s="66"/>
      <c r="C126" s="66"/>
      <c r="D126" s="12"/>
      <c r="E126" s="12"/>
      <c r="F126" s="12"/>
      <c r="G126" s="12"/>
      <c r="H126" s="12"/>
      <c r="I126" s="12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  <c r="IZ126" s="8"/>
    </row>
    <row r="127" spans="1:260" ht="24" x14ac:dyDescent="0.3">
      <c r="A127" s="67">
        <f>A121+A124</f>
        <v>437986.04727480205</v>
      </c>
      <c r="B127" s="66"/>
      <c r="C127" s="66"/>
      <c r="D127" s="12"/>
      <c r="E127" s="12"/>
      <c r="F127" s="12"/>
      <c r="G127" s="12"/>
      <c r="H127" s="12"/>
      <c r="I127" s="12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  <c r="IZ127" s="8"/>
    </row>
    <row r="128" spans="1:260" ht="24" x14ac:dyDescent="0.3">
      <c r="A128" s="37"/>
      <c r="B128" s="66"/>
      <c r="C128" s="66"/>
      <c r="D128" s="12"/>
      <c r="E128" s="12"/>
      <c r="F128" s="12"/>
      <c r="G128" s="12"/>
      <c r="H128" s="12"/>
      <c r="I128" s="12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  <c r="IZ128" s="8"/>
    </row>
    <row r="129" spans="1:260" ht="24" x14ac:dyDescent="0.3">
      <c r="A129" s="37" t="s">
        <v>196</v>
      </c>
      <c r="B129" s="67">
        <f>A127</f>
        <v>437986.04727480205</v>
      </c>
      <c r="C129" s="66"/>
      <c r="D129" s="12"/>
      <c r="E129" s="12"/>
      <c r="F129" s="12"/>
      <c r="G129" s="12"/>
      <c r="H129" s="12"/>
      <c r="I129" s="12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  <c r="IZ129" s="8"/>
    </row>
    <row r="130" spans="1:260" ht="24" x14ac:dyDescent="0.3">
      <c r="A130" s="37" t="s">
        <v>197</v>
      </c>
      <c r="B130" s="66">
        <f>B92</f>
        <v>8796</v>
      </c>
      <c r="C130" s="66"/>
      <c r="D130" s="12"/>
      <c r="E130" s="12"/>
      <c r="F130" s="12"/>
      <c r="G130" s="12"/>
      <c r="H130" s="12"/>
      <c r="I130" s="12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</row>
    <row r="131" spans="1:260" ht="24" x14ac:dyDescent="0.3">
      <c r="A131" s="37" t="s">
        <v>198</v>
      </c>
      <c r="B131" s="66">
        <f>F43</f>
        <v>24455</v>
      </c>
      <c r="C131" s="66"/>
      <c r="D131" s="12"/>
      <c r="E131" s="12"/>
      <c r="F131" s="12"/>
      <c r="G131" s="12"/>
      <c r="H131" s="12"/>
      <c r="I131" s="12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</row>
    <row r="132" spans="1:260" ht="24" x14ac:dyDescent="0.3">
      <c r="A132" s="39" t="s">
        <v>167</v>
      </c>
      <c r="B132" s="68">
        <f>B129-B130+B131</f>
        <v>453645.04727480205</v>
      </c>
      <c r="C132" s="66"/>
      <c r="D132" s="12"/>
      <c r="E132" s="12"/>
      <c r="F132" s="12"/>
      <c r="G132" s="12"/>
      <c r="H132" s="12"/>
      <c r="I132" s="12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  <c r="IX132" s="8"/>
      <c r="IY132" s="8"/>
      <c r="IZ132" s="8"/>
    </row>
    <row r="133" spans="1:260" ht="24" x14ac:dyDescent="0.3">
      <c r="A133" s="37" t="s">
        <v>199</v>
      </c>
      <c r="B133" s="80">
        <f>'Data Sheet'!K93</f>
        <v>415.33</v>
      </c>
      <c r="C133" s="66"/>
      <c r="D133" s="12"/>
      <c r="E133" s="12"/>
      <c r="F133" s="12"/>
      <c r="G133" s="12"/>
      <c r="H133" s="12"/>
      <c r="I133" s="12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  <c r="IZ133" s="8"/>
    </row>
    <row r="134" spans="1:260" ht="24" x14ac:dyDescent="0.3">
      <c r="A134" s="39" t="s">
        <v>200</v>
      </c>
      <c r="B134" s="69">
        <f>B132/B133</f>
        <v>1092.2520580617872</v>
      </c>
      <c r="C134" s="66"/>
      <c r="D134" s="12"/>
      <c r="E134" s="12"/>
      <c r="F134" s="12"/>
      <c r="G134" s="12"/>
      <c r="H134" s="12"/>
      <c r="I134" s="12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  <c r="IX134" s="8"/>
      <c r="IY134" s="8"/>
      <c r="IZ134" s="8"/>
    </row>
    <row r="135" spans="1:260" ht="24" x14ac:dyDescent="0.3">
      <c r="A135" s="37" t="s">
        <v>201</v>
      </c>
      <c r="B135" s="70">
        <f>CCM!B4</f>
        <v>1278.25</v>
      </c>
      <c r="C135" s="66"/>
      <c r="D135" s="12"/>
      <c r="E135" s="12"/>
      <c r="F135" s="12"/>
      <c r="G135" s="12"/>
      <c r="H135" s="12"/>
      <c r="I135" s="12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</row>
    <row r="136" spans="1:260" ht="24" x14ac:dyDescent="0.3">
      <c r="A136" s="37" t="s">
        <v>202</v>
      </c>
      <c r="B136" s="71">
        <f>B134/B135-1</f>
        <v>-0.14550983136179363</v>
      </c>
      <c r="C136" s="66"/>
      <c r="D136" s="12"/>
      <c r="E136" s="12"/>
      <c r="F136" s="12"/>
      <c r="G136" s="12"/>
      <c r="H136" s="12"/>
      <c r="I136" s="12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IW136" s="8"/>
      <c r="IX136" s="8"/>
      <c r="IY136" s="8"/>
      <c r="IZ136" s="8"/>
    </row>
    <row r="137" spans="1:260" ht="24" x14ac:dyDescent="0.3">
      <c r="A137" s="37"/>
      <c r="B137" s="66"/>
      <c r="C137" s="66"/>
      <c r="D137" s="12"/>
      <c r="E137" s="12"/>
      <c r="F137" s="12"/>
      <c r="G137" s="12"/>
      <c r="H137" s="12"/>
      <c r="I137" s="12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  <c r="IZ137" s="8"/>
    </row>
    <row r="138" spans="1:260" ht="26" x14ac:dyDescent="0.3">
      <c r="A138" s="40" t="s">
        <v>203</v>
      </c>
      <c r="B138" s="72"/>
      <c r="C138" s="72"/>
      <c r="D138" s="12"/>
      <c r="E138" s="12"/>
      <c r="F138" s="12"/>
      <c r="G138" s="12"/>
      <c r="H138" s="12"/>
      <c r="I138" s="12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  <c r="IZ138" s="8"/>
    </row>
    <row r="139" spans="1:260" ht="24" x14ac:dyDescent="0.3">
      <c r="A139" s="38" t="s">
        <v>204</v>
      </c>
      <c r="B139" s="73"/>
      <c r="C139" s="73"/>
      <c r="D139" s="73"/>
      <c r="E139" s="73"/>
      <c r="F139" s="73"/>
      <c r="G139" s="73"/>
      <c r="H139" s="12"/>
      <c r="I139" s="12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</row>
    <row r="140" spans="1:260" ht="24" x14ac:dyDescent="0.3">
      <c r="A140" s="41">
        <f>B134</f>
        <v>1092.2520580617872</v>
      </c>
      <c r="B140" s="74">
        <f>C140-0.1%</f>
        <v>0.12092380024865504</v>
      </c>
      <c r="C140" s="74">
        <f t="shared" ref="C140" si="24">D140-0.5%</f>
        <v>0.12192380024865504</v>
      </c>
      <c r="D140" s="74">
        <f>E140-0.5%</f>
        <v>0.12692380024865504</v>
      </c>
      <c r="E140" s="75">
        <f>B103</f>
        <v>0.13192380024865505</v>
      </c>
      <c r="F140" s="76">
        <f>E140+0.5%</f>
        <v>0.13692380024865505</v>
      </c>
      <c r="G140" s="76">
        <f>F140+0.5%</f>
        <v>0.14192380024865506</v>
      </c>
      <c r="H140" s="12"/>
      <c r="I140" s="12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  <c r="IX140" s="8"/>
      <c r="IY140" s="8"/>
      <c r="IZ140" s="8"/>
    </row>
    <row r="141" spans="1:260" ht="24" x14ac:dyDescent="0.3">
      <c r="A141" s="42">
        <f t="shared" ref="A141:A142" si="25">A142-1%</f>
        <v>3.9999999999999994E-2</v>
      </c>
      <c r="B141" s="77">
        <f t="dataTable" ref="B141:G145" dt2D="1" dtr="1" r1="B103" r2="B107" ca="1"/>
        <v>1023.9122848713262</v>
      </c>
      <c r="C141" s="77">
        <v>1182.8642849280507</v>
      </c>
      <c r="D141" s="77">
        <v>1280.8711463744878</v>
      </c>
      <c r="E141" s="77">
        <v>1280.8711463744878</v>
      </c>
      <c r="F141" s="77">
        <v>1182.8642849280507</v>
      </c>
      <c r="G141" s="77">
        <v>1023.9122848713262</v>
      </c>
      <c r="H141" s="12"/>
      <c r="I141" s="12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</row>
    <row r="142" spans="1:260" ht="24" x14ac:dyDescent="0.3">
      <c r="A142" s="42">
        <f t="shared" si="25"/>
        <v>4.9999999999999996E-2</v>
      </c>
      <c r="B142" s="77">
        <v>1071.8785663688943</v>
      </c>
      <c r="C142" s="77">
        <v>1241.5111396181039</v>
      </c>
      <c r="D142" s="78">
        <v>1346.4130780451123</v>
      </c>
      <c r="E142" s="78">
        <v>1346.4130780451123</v>
      </c>
      <c r="F142" s="78">
        <v>1241.5111396181039</v>
      </c>
      <c r="G142" s="78">
        <v>1071.8785663688943</v>
      </c>
      <c r="H142" s="12"/>
      <c r="I142" s="12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  <c r="IZ142" s="8"/>
    </row>
    <row r="143" spans="1:260" ht="24" x14ac:dyDescent="0.3">
      <c r="A143" s="43">
        <f>B107</f>
        <v>0.06</v>
      </c>
      <c r="B143" s="77">
        <v>1261.2487492690354</v>
      </c>
      <c r="C143" s="77">
        <v>1496.2918372546069</v>
      </c>
      <c r="D143" s="78">
        <v>1647.1370277376845</v>
      </c>
      <c r="E143" s="78">
        <v>1647.1370277376845</v>
      </c>
      <c r="F143" s="78">
        <v>1496.2918372546069</v>
      </c>
      <c r="G143" s="78">
        <v>1261.2487492690354</v>
      </c>
      <c r="H143" s="12"/>
      <c r="I143" s="12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</row>
    <row r="144" spans="1:260" ht="24" x14ac:dyDescent="0.3">
      <c r="A144" s="42">
        <f t="shared" ref="A144:A145" si="26">A143+1%</f>
        <v>6.9999999999999993E-2</v>
      </c>
      <c r="B144" s="77">
        <v>1806.6704135908508</v>
      </c>
      <c r="C144" s="77">
        <v>2317.7965004274515</v>
      </c>
      <c r="D144" s="78">
        <v>2690.9007899583303</v>
      </c>
      <c r="E144" s="78">
        <v>2690.9007899583303</v>
      </c>
      <c r="F144" s="78">
        <v>2317.7965004274515</v>
      </c>
      <c r="G144" s="78">
        <v>1806.6704135908508</v>
      </c>
      <c r="H144" s="12"/>
      <c r="I144" s="12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  <c r="IZ144" s="8"/>
    </row>
    <row r="145" spans="1:260" ht="24" x14ac:dyDescent="0.3">
      <c r="A145" s="42">
        <f t="shared" si="26"/>
        <v>7.9999999999999988E-2</v>
      </c>
      <c r="B145" s="77">
        <v>4996.6662220670742</v>
      </c>
      <c r="C145" s="77">
        <v>12412.863944242852</v>
      </c>
      <c r="D145" s="78">
        <v>45053.446810019501</v>
      </c>
      <c r="E145" s="78">
        <v>45053.446810019501</v>
      </c>
      <c r="F145" s="78">
        <v>12412.863944242852</v>
      </c>
      <c r="G145" s="78">
        <v>4996.6662220670742</v>
      </c>
      <c r="H145" s="12"/>
      <c r="I145" s="12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</row>
    <row r="146" spans="1:260" ht="24" x14ac:dyDescent="0.3">
      <c r="A146" s="37"/>
      <c r="B146" s="37"/>
      <c r="C146" s="37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IW146" s="8"/>
      <c r="IX146" s="8"/>
      <c r="IY146" s="8"/>
      <c r="IZ146" s="8"/>
    </row>
    <row r="147" spans="1:260" ht="44" customHeight="1" x14ac:dyDescent="0.3">
      <c r="A147" s="46" t="s">
        <v>205</v>
      </c>
      <c r="B147" s="44"/>
      <c r="C147" s="44"/>
      <c r="D147" s="45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  <c r="IZ147" s="8"/>
    </row>
    <row r="148" spans="1:260" ht="24" x14ac:dyDescent="0.3">
      <c r="A148" s="47" t="s">
        <v>210</v>
      </c>
      <c r="B148" s="37"/>
      <c r="C148" s="37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  <c r="IX148" s="8"/>
      <c r="IY148" s="8"/>
      <c r="IZ148" s="8"/>
    </row>
    <row r="149" spans="1:260" ht="50" customHeight="1" x14ac:dyDescent="0.3">
      <c r="A149" s="88" t="s">
        <v>206</v>
      </c>
      <c r="B149" s="88"/>
      <c r="C149" s="49"/>
      <c r="D149" s="49"/>
      <c r="E149" s="49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  <c r="IZ149" s="8"/>
    </row>
    <row r="150" spans="1:260" ht="50" customHeight="1" x14ac:dyDescent="0.3">
      <c r="A150" s="82" t="s">
        <v>207</v>
      </c>
      <c r="B150" s="82"/>
      <c r="C150" s="82"/>
      <c r="D150" s="82"/>
      <c r="E150" s="82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  <c r="IX150" s="8"/>
      <c r="IY150" s="8"/>
      <c r="IZ150" s="8"/>
    </row>
    <row r="151" spans="1:260" ht="50" customHeight="1" x14ac:dyDescent="0.3">
      <c r="A151" s="82" t="s">
        <v>208</v>
      </c>
      <c r="B151" s="82"/>
      <c r="C151" s="82"/>
      <c r="D151" s="82"/>
      <c r="E151" s="82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  <c r="IX151" s="8"/>
      <c r="IY151" s="8"/>
      <c r="IZ151" s="8"/>
    </row>
    <row r="152" spans="1:260" ht="50" customHeight="1" x14ac:dyDescent="0.3">
      <c r="A152" s="82" t="s">
        <v>209</v>
      </c>
      <c r="B152" s="82"/>
      <c r="C152" s="82"/>
      <c r="D152" s="82"/>
      <c r="E152" s="82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IW152" s="8"/>
      <c r="IX152" s="8"/>
      <c r="IY152" s="8"/>
      <c r="IZ152" s="8"/>
    </row>
    <row r="153" spans="1:260" ht="24" x14ac:dyDescent="0.3">
      <c r="A153" s="89"/>
      <c r="B153" s="89"/>
      <c r="C153" s="89"/>
      <c r="D153" s="89"/>
      <c r="E153" s="89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  <c r="IX153" s="8"/>
      <c r="IY153" s="8"/>
      <c r="IZ153" s="8"/>
    </row>
    <row r="154" spans="1:260" ht="24" x14ac:dyDescent="0.3">
      <c r="A154" s="83" t="s">
        <v>211</v>
      </c>
      <c r="B154" s="83"/>
      <c r="C154" s="83"/>
      <c r="D154" s="83"/>
      <c r="E154" s="83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IW154" s="8"/>
      <c r="IX154" s="8"/>
      <c r="IY154" s="8"/>
      <c r="IZ154" s="8"/>
    </row>
    <row r="155" spans="1:260" ht="50" customHeight="1" x14ac:dyDescent="0.3">
      <c r="A155" s="82" t="s">
        <v>212</v>
      </c>
      <c r="B155" s="82"/>
      <c r="C155" s="82"/>
      <c r="D155" s="82"/>
      <c r="E155" s="82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IW155" s="8"/>
      <c r="IX155" s="8"/>
      <c r="IY155" s="8"/>
      <c r="IZ155" s="8"/>
    </row>
    <row r="156" spans="1:260" ht="75" customHeight="1" x14ac:dyDescent="0.3">
      <c r="A156" s="82" t="s">
        <v>213</v>
      </c>
      <c r="B156" s="82"/>
      <c r="C156" s="82"/>
      <c r="D156" s="82"/>
      <c r="E156" s="82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IW156" s="8"/>
      <c r="IX156" s="8"/>
      <c r="IY156" s="8"/>
      <c r="IZ156" s="8"/>
    </row>
    <row r="157" spans="1:260" ht="75" customHeight="1" x14ac:dyDescent="0.3">
      <c r="A157" s="82" t="s">
        <v>214</v>
      </c>
      <c r="B157" s="82"/>
      <c r="C157" s="82"/>
      <c r="D157" s="82"/>
      <c r="E157" s="82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IW157" s="8"/>
      <c r="IX157" s="8"/>
      <c r="IY157" s="8"/>
      <c r="IZ157" s="8"/>
    </row>
    <row r="158" spans="1:260" ht="75" customHeight="1" x14ac:dyDescent="0.3">
      <c r="A158" s="82" t="s">
        <v>215</v>
      </c>
      <c r="B158" s="82"/>
      <c r="C158" s="82"/>
      <c r="D158" s="82"/>
      <c r="E158" s="82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IW158" s="8"/>
      <c r="IX158" s="8"/>
      <c r="IY158" s="8"/>
      <c r="IZ158" s="8"/>
    </row>
    <row r="159" spans="1:260" ht="24" x14ac:dyDescent="0.3">
      <c r="A159" s="37"/>
      <c r="B159" s="37"/>
      <c r="C159" s="37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IW159" s="8"/>
      <c r="IX159" s="8"/>
      <c r="IY159" s="8"/>
      <c r="IZ159" s="8"/>
    </row>
    <row r="160" spans="1:260" ht="50" customHeight="1" x14ac:dyDescent="0.3">
      <c r="A160" s="48" t="s">
        <v>216</v>
      </c>
      <c r="B160" s="37"/>
      <c r="C160" s="3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  <c r="IX160" s="8"/>
      <c r="IY160" s="8"/>
      <c r="IZ160" s="8"/>
    </row>
    <row r="161" spans="1:260" ht="24" x14ac:dyDescent="0.3">
      <c r="A161" s="37"/>
      <c r="B161" s="37"/>
      <c r="C161" s="37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  <c r="IZ161" s="8"/>
    </row>
    <row r="162" spans="1:260" ht="65" customHeight="1" x14ac:dyDescent="0.25">
      <c r="A162" s="81" t="s">
        <v>217</v>
      </c>
      <c r="B162" s="81"/>
      <c r="C162" s="81"/>
      <c r="D162" s="81"/>
      <c r="E162" s="81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  <c r="IX162" s="8"/>
      <c r="IY162" s="8"/>
      <c r="IZ162" s="8"/>
    </row>
    <row r="163" spans="1:260" ht="65" customHeight="1" x14ac:dyDescent="0.25">
      <c r="A163" s="81" t="s">
        <v>218</v>
      </c>
      <c r="B163" s="81"/>
      <c r="C163" s="81"/>
      <c r="D163" s="81"/>
      <c r="E163" s="81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  <c r="IX163" s="8"/>
      <c r="IY163" s="8"/>
      <c r="IZ163" s="8"/>
    </row>
    <row r="164" spans="1:260" ht="65" customHeight="1" x14ac:dyDescent="0.25">
      <c r="A164" s="81" t="s">
        <v>219</v>
      </c>
      <c r="B164" s="81"/>
      <c r="C164" s="81"/>
      <c r="D164" s="81"/>
      <c r="E164" s="81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IW164" s="8"/>
      <c r="IX164" s="8"/>
      <c r="IY164" s="8"/>
      <c r="IZ164" s="8"/>
    </row>
    <row r="165" spans="1:260" ht="65" customHeight="1" x14ac:dyDescent="0.25">
      <c r="A165" s="81" t="s">
        <v>220</v>
      </c>
      <c r="B165" s="81"/>
      <c r="C165" s="81"/>
      <c r="D165" s="81"/>
      <c r="E165" s="81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  <c r="IX165" s="8"/>
      <c r="IY165" s="8"/>
      <c r="IZ165" s="8"/>
    </row>
    <row r="166" spans="1:260" ht="41" customHeight="1" x14ac:dyDescent="0.3">
      <c r="A166" s="38" t="s">
        <v>225</v>
      </c>
      <c r="B166" s="37"/>
      <c r="C166" s="37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  <c r="IZ166" s="8"/>
    </row>
    <row r="167" spans="1:260" ht="65" customHeight="1" x14ac:dyDescent="0.25">
      <c r="A167" s="81" t="s">
        <v>221</v>
      </c>
      <c r="B167" s="81"/>
      <c r="C167" s="81"/>
      <c r="D167" s="81"/>
      <c r="E167" s="81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  <c r="IX167" s="8"/>
      <c r="IY167" s="8"/>
      <c r="IZ167" s="8"/>
    </row>
    <row r="168" spans="1:260" ht="43" customHeight="1" x14ac:dyDescent="0.25">
      <c r="A168" s="81" t="s">
        <v>222</v>
      </c>
      <c r="B168" s="81"/>
      <c r="C168" s="81"/>
      <c r="D168" s="81"/>
      <c r="E168" s="81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  <c r="IX168" s="8"/>
      <c r="IY168" s="8"/>
      <c r="IZ168" s="8"/>
    </row>
    <row r="169" spans="1:260" ht="64" customHeight="1" x14ac:dyDescent="0.25">
      <c r="A169" s="81" t="s">
        <v>223</v>
      </c>
      <c r="B169" s="81"/>
      <c r="C169" s="81"/>
      <c r="D169" s="81"/>
      <c r="E169" s="81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  <c r="IX169" s="8"/>
      <c r="IY169" s="8"/>
      <c r="IZ169" s="8"/>
    </row>
    <row r="170" spans="1:260" ht="64" customHeight="1" x14ac:dyDescent="0.25">
      <c r="A170" s="81" t="s">
        <v>224</v>
      </c>
      <c r="B170" s="81"/>
      <c r="C170" s="81"/>
      <c r="D170" s="81"/>
      <c r="E170" s="81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  <c r="IX170" s="8"/>
      <c r="IY170" s="8"/>
      <c r="IZ170" s="8"/>
    </row>
    <row r="171" spans="1:260" ht="64" customHeight="1" x14ac:dyDescent="0.25">
      <c r="A171" s="81" t="s">
        <v>226</v>
      </c>
      <c r="B171" s="81"/>
      <c r="C171" s="81"/>
      <c r="D171" s="81"/>
      <c r="E171" s="81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IW171" s="8"/>
      <c r="IX171" s="8"/>
      <c r="IY171" s="8"/>
      <c r="IZ171" s="8"/>
    </row>
    <row r="172" spans="1:260" ht="2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IW172" s="8"/>
      <c r="IX172" s="8"/>
      <c r="IY172" s="8"/>
      <c r="IZ172" s="8"/>
    </row>
    <row r="173" spans="1:260" ht="2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  <c r="IX173" s="8"/>
      <c r="IY173" s="8"/>
      <c r="IZ173" s="8"/>
    </row>
    <row r="174" spans="1:260" ht="2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IW174" s="8"/>
      <c r="IX174" s="8"/>
      <c r="IY174" s="8"/>
      <c r="IZ174" s="8"/>
    </row>
    <row r="175" spans="1:260" ht="2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IW175" s="8"/>
      <c r="IX175" s="8"/>
      <c r="IY175" s="8"/>
      <c r="IZ175" s="8"/>
    </row>
    <row r="176" spans="1:260" ht="2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IW176" s="8"/>
      <c r="IX176" s="8"/>
      <c r="IY176" s="8"/>
      <c r="IZ176" s="8"/>
    </row>
    <row r="177" spans="1:260" ht="2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IW177" s="8"/>
      <c r="IX177" s="8"/>
      <c r="IY177" s="8"/>
      <c r="IZ177" s="8"/>
    </row>
    <row r="178" spans="1:260" ht="2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IW178" s="8"/>
      <c r="IX178" s="8"/>
      <c r="IY178" s="8"/>
      <c r="IZ178" s="8"/>
    </row>
    <row r="179" spans="1:260" ht="2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IW179" s="8"/>
      <c r="IX179" s="8"/>
      <c r="IY179" s="8"/>
      <c r="IZ179" s="8"/>
    </row>
    <row r="180" spans="1:260" ht="2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IW180" s="8"/>
      <c r="IX180" s="8"/>
      <c r="IY180" s="8"/>
      <c r="IZ180" s="8"/>
    </row>
    <row r="181" spans="1:260" ht="2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IW181" s="8"/>
      <c r="IX181" s="8"/>
      <c r="IY181" s="8"/>
      <c r="IZ181" s="8"/>
    </row>
    <row r="182" spans="1:260" ht="2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IW182" s="8"/>
      <c r="IX182" s="8"/>
      <c r="IY182" s="8"/>
      <c r="IZ182" s="8"/>
    </row>
    <row r="183" spans="1:260" ht="2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IW183" s="8"/>
      <c r="IX183" s="8"/>
      <c r="IY183" s="8"/>
      <c r="IZ183" s="8"/>
    </row>
    <row r="184" spans="1:260" ht="2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IW184" s="8"/>
      <c r="IX184" s="8"/>
      <c r="IY184" s="8"/>
      <c r="IZ184" s="8"/>
    </row>
    <row r="185" spans="1:260" ht="2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IW185" s="8"/>
      <c r="IX185" s="8"/>
      <c r="IY185" s="8"/>
      <c r="IZ185" s="8"/>
    </row>
    <row r="186" spans="1:260" ht="2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IW186" s="8"/>
      <c r="IX186" s="8"/>
      <c r="IY186" s="8"/>
      <c r="IZ186" s="8"/>
    </row>
    <row r="187" spans="1:260" ht="2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  <c r="IW187" s="8"/>
      <c r="IX187" s="8"/>
      <c r="IY187" s="8"/>
      <c r="IZ187" s="8"/>
    </row>
    <row r="188" spans="1:260" ht="2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  <c r="IW188" s="8"/>
      <c r="IX188" s="8"/>
      <c r="IY188" s="8"/>
      <c r="IZ188" s="8"/>
    </row>
    <row r="189" spans="1:260" ht="2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  <c r="IW189" s="8"/>
      <c r="IX189" s="8"/>
      <c r="IY189" s="8"/>
      <c r="IZ189" s="8"/>
    </row>
    <row r="190" spans="1:260" ht="2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  <c r="IW190" s="8"/>
      <c r="IX190" s="8"/>
      <c r="IY190" s="8"/>
      <c r="IZ190" s="8"/>
    </row>
    <row r="191" spans="1:260" ht="2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  <c r="IW191" s="8"/>
      <c r="IX191" s="8"/>
      <c r="IY191" s="8"/>
      <c r="IZ191" s="8"/>
    </row>
    <row r="192" spans="1:260" ht="2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  <c r="IW192" s="8"/>
      <c r="IX192" s="8"/>
      <c r="IY192" s="8"/>
      <c r="IZ192" s="8"/>
    </row>
    <row r="193" spans="1:260" ht="2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IW193" s="8"/>
      <c r="IX193" s="8"/>
      <c r="IY193" s="8"/>
      <c r="IZ193" s="8"/>
    </row>
    <row r="194" spans="1:260" ht="2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  <c r="IW194" s="8"/>
      <c r="IX194" s="8"/>
      <c r="IY194" s="8"/>
      <c r="IZ194" s="8"/>
    </row>
    <row r="195" spans="1:260" ht="2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  <c r="IW195" s="8"/>
      <c r="IX195" s="8"/>
      <c r="IY195" s="8"/>
      <c r="IZ195" s="8"/>
    </row>
    <row r="196" spans="1:260" ht="2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  <c r="IW196" s="8"/>
      <c r="IX196" s="8"/>
      <c r="IY196" s="8"/>
      <c r="IZ196" s="8"/>
    </row>
    <row r="197" spans="1:260" ht="2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  <c r="IW197" s="8"/>
      <c r="IX197" s="8"/>
      <c r="IY197" s="8"/>
      <c r="IZ197" s="8"/>
    </row>
    <row r="198" spans="1:260" ht="2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  <c r="IW198" s="8"/>
      <c r="IX198" s="8"/>
      <c r="IY198" s="8"/>
      <c r="IZ198" s="8"/>
    </row>
    <row r="199" spans="1:260" ht="2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  <c r="IW199" s="8"/>
      <c r="IX199" s="8"/>
      <c r="IY199" s="8"/>
      <c r="IZ199" s="8"/>
    </row>
    <row r="200" spans="1:260" ht="2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IW200" s="8"/>
      <c r="IX200" s="8"/>
      <c r="IY200" s="8"/>
      <c r="IZ200" s="8"/>
    </row>
    <row r="201" spans="1:260" ht="2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H201" s="8"/>
      <c r="II201" s="8"/>
      <c r="IJ201" s="8"/>
      <c r="IK201" s="8"/>
      <c r="IL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  <c r="IW201" s="8"/>
      <c r="IX201" s="8"/>
      <c r="IY201" s="8"/>
      <c r="IZ201" s="8"/>
    </row>
    <row r="202" spans="1:260" ht="2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H202" s="8"/>
      <c r="II202" s="8"/>
      <c r="IJ202" s="8"/>
      <c r="IK202" s="8"/>
      <c r="IL202" s="8"/>
      <c r="IM202" s="8"/>
      <c r="IN202" s="8"/>
      <c r="IO202" s="8"/>
      <c r="IP202" s="8"/>
      <c r="IQ202" s="8"/>
      <c r="IR202" s="8"/>
      <c r="IS202" s="8"/>
      <c r="IT202" s="8"/>
      <c r="IU202" s="8"/>
      <c r="IV202" s="8"/>
      <c r="IW202" s="8"/>
      <c r="IX202" s="8"/>
      <c r="IY202" s="8"/>
      <c r="IZ202" s="8"/>
    </row>
    <row r="203" spans="1:260" ht="2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H203" s="8"/>
      <c r="II203" s="8"/>
      <c r="IJ203" s="8"/>
      <c r="IK203" s="8"/>
      <c r="IL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IW203" s="8"/>
      <c r="IX203" s="8"/>
      <c r="IY203" s="8"/>
      <c r="IZ203" s="8"/>
    </row>
    <row r="204" spans="1:260" ht="2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H204" s="8"/>
      <c r="II204" s="8"/>
      <c r="IJ204" s="8"/>
      <c r="IK204" s="8"/>
      <c r="IL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IW204" s="8"/>
      <c r="IX204" s="8"/>
      <c r="IY204" s="8"/>
      <c r="IZ204" s="8"/>
    </row>
    <row r="205" spans="1:260" ht="2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IW205" s="8"/>
      <c r="IX205" s="8"/>
      <c r="IY205" s="8"/>
      <c r="IZ205" s="8"/>
    </row>
    <row r="206" spans="1:260" ht="2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IW206" s="8"/>
      <c r="IX206" s="8"/>
      <c r="IY206" s="8"/>
      <c r="IZ206" s="8"/>
    </row>
    <row r="207" spans="1:260" ht="2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IW207" s="8"/>
      <c r="IX207" s="8"/>
      <c r="IY207" s="8"/>
      <c r="IZ207" s="8"/>
    </row>
    <row r="208" spans="1:260" ht="2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H208" s="8"/>
      <c r="II208" s="8"/>
      <c r="IJ208" s="8"/>
      <c r="IK208" s="8"/>
      <c r="IL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IW208" s="8"/>
      <c r="IX208" s="8"/>
      <c r="IY208" s="8"/>
      <c r="IZ208" s="8"/>
    </row>
    <row r="209" spans="1:260" ht="2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IW209" s="8"/>
      <c r="IX209" s="8"/>
      <c r="IY209" s="8"/>
      <c r="IZ209" s="8"/>
    </row>
    <row r="210" spans="1:260" ht="2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IW210" s="8"/>
      <c r="IX210" s="8"/>
      <c r="IY210" s="8"/>
      <c r="IZ210" s="8"/>
    </row>
    <row r="211" spans="1:260" ht="2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IW211" s="8"/>
      <c r="IX211" s="8"/>
      <c r="IY211" s="8"/>
      <c r="IZ211" s="8"/>
    </row>
    <row r="212" spans="1:260" ht="2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IW212" s="8"/>
      <c r="IX212" s="8"/>
      <c r="IY212" s="8"/>
      <c r="IZ212" s="8"/>
    </row>
    <row r="213" spans="1:260" ht="2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H213" s="8"/>
      <c r="II213" s="8"/>
      <c r="IJ213" s="8"/>
      <c r="IK213" s="8"/>
      <c r="IL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  <c r="IW213" s="8"/>
      <c r="IX213" s="8"/>
      <c r="IY213" s="8"/>
      <c r="IZ213" s="8"/>
    </row>
    <row r="214" spans="1:260" ht="2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H214" s="8"/>
      <c r="II214" s="8"/>
      <c r="IJ214" s="8"/>
      <c r="IK214" s="8"/>
      <c r="IL214" s="8"/>
      <c r="IM214" s="8"/>
      <c r="IN214" s="8"/>
      <c r="IO214" s="8"/>
      <c r="IP214" s="8"/>
      <c r="IQ214" s="8"/>
      <c r="IR214" s="8"/>
      <c r="IS214" s="8"/>
      <c r="IT214" s="8"/>
      <c r="IU214" s="8"/>
      <c r="IV214" s="8"/>
      <c r="IW214" s="8"/>
      <c r="IX214" s="8"/>
      <c r="IY214" s="8"/>
      <c r="IZ214" s="8"/>
    </row>
    <row r="215" spans="1:260" ht="2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H215" s="8"/>
      <c r="II215" s="8"/>
      <c r="IJ215" s="8"/>
      <c r="IK215" s="8"/>
      <c r="IL215" s="8"/>
      <c r="IM215" s="8"/>
      <c r="IN215" s="8"/>
      <c r="IO215" s="8"/>
      <c r="IP215" s="8"/>
      <c r="IQ215" s="8"/>
      <c r="IR215" s="8"/>
      <c r="IS215" s="8"/>
      <c r="IT215" s="8"/>
      <c r="IU215" s="8"/>
      <c r="IV215" s="8"/>
      <c r="IW215" s="8"/>
      <c r="IX215" s="8"/>
      <c r="IY215" s="8"/>
      <c r="IZ215" s="8"/>
    </row>
    <row r="216" spans="1:260" ht="2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H216" s="8"/>
      <c r="II216" s="8"/>
      <c r="IJ216" s="8"/>
      <c r="IK216" s="8"/>
      <c r="IL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  <c r="IW216" s="8"/>
      <c r="IX216" s="8"/>
      <c r="IY216" s="8"/>
      <c r="IZ216" s="8"/>
    </row>
    <row r="217" spans="1:260" ht="2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H217" s="8"/>
      <c r="II217" s="8"/>
      <c r="IJ217" s="8"/>
      <c r="IK217" s="8"/>
      <c r="IL217" s="8"/>
      <c r="IM217" s="8"/>
      <c r="IN217" s="8"/>
      <c r="IO217" s="8"/>
      <c r="IP217" s="8"/>
      <c r="IQ217" s="8"/>
      <c r="IR217" s="8"/>
      <c r="IS217" s="8"/>
      <c r="IT217" s="8"/>
      <c r="IU217" s="8"/>
      <c r="IV217" s="8"/>
      <c r="IW217" s="8"/>
      <c r="IX217" s="8"/>
      <c r="IY217" s="8"/>
      <c r="IZ217" s="8"/>
    </row>
    <row r="218" spans="1:260" ht="2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H218" s="8"/>
      <c r="II218" s="8"/>
      <c r="IJ218" s="8"/>
      <c r="IK218" s="8"/>
      <c r="IL218" s="8"/>
      <c r="IM218" s="8"/>
      <c r="IN218" s="8"/>
      <c r="IO218" s="8"/>
      <c r="IP218" s="8"/>
      <c r="IQ218" s="8"/>
      <c r="IR218" s="8"/>
      <c r="IS218" s="8"/>
      <c r="IT218" s="8"/>
      <c r="IU218" s="8"/>
      <c r="IV218" s="8"/>
      <c r="IW218" s="8"/>
      <c r="IX218" s="8"/>
      <c r="IY218" s="8"/>
      <c r="IZ218" s="8"/>
    </row>
    <row r="219" spans="1:260" ht="2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H219" s="8"/>
      <c r="II219" s="8"/>
      <c r="IJ219" s="8"/>
      <c r="IK219" s="8"/>
      <c r="IL219" s="8"/>
      <c r="IM219" s="8"/>
      <c r="IN219" s="8"/>
      <c r="IO219" s="8"/>
      <c r="IP219" s="8"/>
      <c r="IQ219" s="8"/>
      <c r="IR219" s="8"/>
      <c r="IS219" s="8"/>
      <c r="IT219" s="8"/>
      <c r="IU219" s="8"/>
      <c r="IV219" s="8"/>
      <c r="IW219" s="8"/>
      <c r="IX219" s="8"/>
      <c r="IY219" s="8"/>
      <c r="IZ219" s="8"/>
    </row>
    <row r="220" spans="1:260" ht="2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H220" s="8"/>
      <c r="II220" s="8"/>
      <c r="IJ220" s="8"/>
      <c r="IK220" s="8"/>
      <c r="IL220" s="8"/>
      <c r="IM220" s="8"/>
      <c r="IN220" s="8"/>
      <c r="IO220" s="8"/>
      <c r="IP220" s="8"/>
      <c r="IQ220" s="8"/>
      <c r="IR220" s="8"/>
      <c r="IS220" s="8"/>
      <c r="IT220" s="8"/>
      <c r="IU220" s="8"/>
      <c r="IV220" s="8"/>
      <c r="IW220" s="8"/>
      <c r="IX220" s="8"/>
      <c r="IY220" s="8"/>
      <c r="IZ220" s="8"/>
    </row>
    <row r="221" spans="1:260" ht="2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/>
      <c r="HW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H221" s="8"/>
      <c r="II221" s="8"/>
      <c r="IJ221" s="8"/>
      <c r="IK221" s="8"/>
      <c r="IL221" s="8"/>
      <c r="IM221" s="8"/>
      <c r="IN221" s="8"/>
      <c r="IO221" s="8"/>
      <c r="IP221" s="8"/>
      <c r="IQ221" s="8"/>
      <c r="IR221" s="8"/>
      <c r="IS221" s="8"/>
      <c r="IT221" s="8"/>
      <c r="IU221" s="8"/>
      <c r="IV221" s="8"/>
      <c r="IW221" s="8"/>
      <c r="IX221" s="8"/>
      <c r="IY221" s="8"/>
      <c r="IZ221" s="8"/>
    </row>
    <row r="222" spans="1:260" ht="2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H222" s="8"/>
      <c r="II222" s="8"/>
      <c r="IJ222" s="8"/>
      <c r="IK222" s="8"/>
      <c r="IL222" s="8"/>
      <c r="IM222" s="8"/>
      <c r="IN222" s="8"/>
      <c r="IO222" s="8"/>
      <c r="IP222" s="8"/>
      <c r="IQ222" s="8"/>
      <c r="IR222" s="8"/>
      <c r="IS222" s="8"/>
      <c r="IT222" s="8"/>
      <c r="IU222" s="8"/>
      <c r="IV222" s="8"/>
      <c r="IW222" s="8"/>
      <c r="IX222" s="8"/>
      <c r="IY222" s="8"/>
      <c r="IZ222" s="8"/>
    </row>
    <row r="223" spans="1:260" ht="2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H223" s="8"/>
      <c r="II223" s="8"/>
      <c r="IJ223" s="8"/>
      <c r="IK223" s="8"/>
      <c r="IL223" s="8"/>
      <c r="IM223" s="8"/>
      <c r="IN223" s="8"/>
      <c r="IO223" s="8"/>
      <c r="IP223" s="8"/>
      <c r="IQ223" s="8"/>
      <c r="IR223" s="8"/>
      <c r="IS223" s="8"/>
      <c r="IT223" s="8"/>
      <c r="IU223" s="8"/>
      <c r="IV223" s="8"/>
      <c r="IW223" s="8"/>
      <c r="IX223" s="8"/>
      <c r="IY223" s="8"/>
      <c r="IZ223" s="8"/>
    </row>
    <row r="224" spans="1:260" ht="2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H224" s="8"/>
      <c r="II224" s="8"/>
      <c r="IJ224" s="8"/>
      <c r="IK224" s="8"/>
      <c r="IL224" s="8"/>
      <c r="IM224" s="8"/>
      <c r="IN224" s="8"/>
      <c r="IO224" s="8"/>
      <c r="IP224" s="8"/>
      <c r="IQ224" s="8"/>
      <c r="IR224" s="8"/>
      <c r="IS224" s="8"/>
      <c r="IT224" s="8"/>
      <c r="IU224" s="8"/>
      <c r="IV224" s="8"/>
      <c r="IW224" s="8"/>
      <c r="IX224" s="8"/>
      <c r="IY224" s="8"/>
      <c r="IZ224" s="8"/>
    </row>
    <row r="225" spans="1:260" ht="2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  <c r="IW225" s="8"/>
      <c r="IX225" s="8"/>
      <c r="IY225" s="8"/>
      <c r="IZ225" s="8"/>
    </row>
    <row r="226" spans="1:260" ht="2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IW226" s="8"/>
      <c r="IX226" s="8"/>
      <c r="IY226" s="8"/>
      <c r="IZ226" s="8"/>
    </row>
    <row r="227" spans="1:260" ht="2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H227" s="8"/>
      <c r="II227" s="8"/>
      <c r="IJ227" s="8"/>
      <c r="IK227" s="8"/>
      <c r="IL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  <c r="IW227" s="8"/>
      <c r="IX227" s="8"/>
      <c r="IY227" s="8"/>
      <c r="IZ227" s="8"/>
    </row>
    <row r="228" spans="1:260" ht="2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IW228" s="8"/>
      <c r="IX228" s="8"/>
      <c r="IY228" s="8"/>
      <c r="IZ228" s="8"/>
    </row>
    <row r="229" spans="1:260" ht="2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IW229" s="8"/>
      <c r="IX229" s="8"/>
      <c r="IY229" s="8"/>
      <c r="IZ229" s="8"/>
    </row>
    <row r="230" spans="1:260" ht="2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H230" s="8"/>
      <c r="II230" s="8"/>
      <c r="IJ230" s="8"/>
      <c r="IK230" s="8"/>
      <c r="IL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  <c r="IW230" s="8"/>
      <c r="IX230" s="8"/>
      <c r="IY230" s="8"/>
      <c r="IZ230" s="8"/>
    </row>
    <row r="231" spans="1:260" ht="2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H231" s="8"/>
      <c r="II231" s="8"/>
      <c r="IJ231" s="8"/>
      <c r="IK231" s="8"/>
      <c r="IL231" s="8"/>
      <c r="IM231" s="8"/>
      <c r="IN231" s="8"/>
      <c r="IO231" s="8"/>
      <c r="IP231" s="8"/>
      <c r="IQ231" s="8"/>
      <c r="IR231" s="8"/>
      <c r="IS231" s="8"/>
      <c r="IT231" s="8"/>
      <c r="IU231" s="8"/>
      <c r="IV231" s="8"/>
      <c r="IW231" s="8"/>
      <c r="IX231" s="8"/>
      <c r="IY231" s="8"/>
      <c r="IZ231" s="8"/>
    </row>
    <row r="232" spans="1:260" ht="2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H232" s="8"/>
      <c r="II232" s="8"/>
      <c r="IJ232" s="8"/>
      <c r="IK232" s="8"/>
      <c r="IL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  <c r="IW232" s="8"/>
      <c r="IX232" s="8"/>
      <c r="IY232" s="8"/>
      <c r="IZ232" s="8"/>
    </row>
    <row r="233" spans="1:260" ht="2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H233" s="8"/>
      <c r="II233" s="8"/>
      <c r="IJ233" s="8"/>
      <c r="IK233" s="8"/>
      <c r="IL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  <c r="IW233" s="8"/>
      <c r="IX233" s="8"/>
      <c r="IY233" s="8"/>
      <c r="IZ233" s="8"/>
    </row>
    <row r="234" spans="1:260" ht="2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H234" s="8"/>
      <c r="II234" s="8"/>
      <c r="IJ234" s="8"/>
      <c r="IK234" s="8"/>
      <c r="IL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IW234" s="8"/>
      <c r="IX234" s="8"/>
      <c r="IY234" s="8"/>
      <c r="IZ234" s="8"/>
    </row>
    <row r="235" spans="1:260" ht="2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IW235" s="8"/>
      <c r="IX235" s="8"/>
      <c r="IY235" s="8"/>
      <c r="IZ235" s="8"/>
    </row>
    <row r="236" spans="1:260" ht="2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8"/>
      <c r="HV236" s="8"/>
      <c r="HW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H236" s="8"/>
      <c r="II236" s="8"/>
      <c r="IJ236" s="8"/>
      <c r="IK236" s="8"/>
      <c r="IL236" s="8"/>
      <c r="IM236" s="8"/>
      <c r="IN236" s="8"/>
      <c r="IO236" s="8"/>
      <c r="IP236" s="8"/>
      <c r="IQ236" s="8"/>
      <c r="IR236" s="8"/>
      <c r="IS236" s="8"/>
      <c r="IT236" s="8"/>
      <c r="IU236" s="8"/>
      <c r="IV236" s="8"/>
      <c r="IW236" s="8"/>
      <c r="IX236" s="8"/>
      <c r="IY236" s="8"/>
      <c r="IZ236" s="8"/>
    </row>
    <row r="237" spans="1:260" ht="2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H237" s="8"/>
      <c r="II237" s="8"/>
      <c r="IJ237" s="8"/>
      <c r="IK237" s="8"/>
      <c r="IL237" s="8"/>
      <c r="IM237" s="8"/>
      <c r="IN237" s="8"/>
      <c r="IO237" s="8"/>
      <c r="IP237" s="8"/>
      <c r="IQ237" s="8"/>
      <c r="IR237" s="8"/>
      <c r="IS237" s="8"/>
      <c r="IT237" s="8"/>
      <c r="IU237" s="8"/>
      <c r="IV237" s="8"/>
      <c r="IW237" s="8"/>
      <c r="IX237" s="8"/>
      <c r="IY237" s="8"/>
      <c r="IZ237" s="8"/>
    </row>
    <row r="238" spans="1:260" ht="2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8"/>
      <c r="HV238" s="8"/>
      <c r="HW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H238" s="8"/>
      <c r="II238" s="8"/>
      <c r="IJ238" s="8"/>
      <c r="IK238" s="8"/>
      <c r="IL238" s="8"/>
      <c r="IM238" s="8"/>
      <c r="IN238" s="8"/>
      <c r="IO238" s="8"/>
      <c r="IP238" s="8"/>
      <c r="IQ238" s="8"/>
      <c r="IR238" s="8"/>
      <c r="IS238" s="8"/>
      <c r="IT238" s="8"/>
      <c r="IU238" s="8"/>
      <c r="IV238" s="8"/>
      <c r="IW238" s="8"/>
      <c r="IX238" s="8"/>
      <c r="IY238" s="8"/>
      <c r="IZ238" s="8"/>
    </row>
    <row r="239" spans="1:260" ht="2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S239" s="8"/>
      <c r="HT239" s="8"/>
      <c r="HU239" s="8"/>
      <c r="HV239" s="8"/>
      <c r="HW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H239" s="8"/>
      <c r="II239" s="8"/>
      <c r="IJ239" s="8"/>
      <c r="IK239" s="8"/>
      <c r="IL239" s="8"/>
      <c r="IM239" s="8"/>
      <c r="IN239" s="8"/>
      <c r="IO239" s="8"/>
      <c r="IP239" s="8"/>
      <c r="IQ239" s="8"/>
      <c r="IR239" s="8"/>
      <c r="IS239" s="8"/>
      <c r="IT239" s="8"/>
      <c r="IU239" s="8"/>
      <c r="IV239" s="8"/>
      <c r="IW239" s="8"/>
      <c r="IX239" s="8"/>
      <c r="IY239" s="8"/>
      <c r="IZ239" s="8"/>
    </row>
    <row r="240" spans="1:260" ht="2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H240" s="8"/>
      <c r="II240" s="8"/>
      <c r="IJ240" s="8"/>
      <c r="IK240" s="8"/>
      <c r="IL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  <c r="IW240" s="8"/>
      <c r="IX240" s="8"/>
      <c r="IY240" s="8"/>
      <c r="IZ240" s="8"/>
    </row>
    <row r="241" spans="1:260" ht="2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8"/>
      <c r="HV241" s="8"/>
      <c r="HW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H241" s="8"/>
      <c r="II241" s="8"/>
      <c r="IJ241" s="8"/>
      <c r="IK241" s="8"/>
      <c r="IL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  <c r="IW241" s="8"/>
      <c r="IX241" s="8"/>
      <c r="IY241" s="8"/>
      <c r="IZ241" s="8"/>
    </row>
    <row r="242" spans="1:260" ht="2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8"/>
      <c r="HV242" s="8"/>
      <c r="HW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H242" s="8"/>
      <c r="II242" s="8"/>
      <c r="IJ242" s="8"/>
      <c r="IK242" s="8"/>
      <c r="IL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  <c r="IW242" s="8"/>
      <c r="IX242" s="8"/>
      <c r="IY242" s="8"/>
      <c r="IZ242" s="8"/>
    </row>
    <row r="243" spans="1:260" ht="2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H243" s="8"/>
      <c r="II243" s="8"/>
      <c r="IJ243" s="8"/>
      <c r="IK243" s="8"/>
      <c r="IL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IW243" s="8"/>
      <c r="IX243" s="8"/>
      <c r="IY243" s="8"/>
      <c r="IZ243" s="8"/>
    </row>
    <row r="244" spans="1:260" ht="2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8"/>
      <c r="HV244" s="8"/>
      <c r="HW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H244" s="8"/>
      <c r="II244" s="8"/>
      <c r="IJ244" s="8"/>
      <c r="IK244" s="8"/>
      <c r="IL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  <c r="IW244" s="8"/>
      <c r="IX244" s="8"/>
      <c r="IY244" s="8"/>
      <c r="IZ244" s="8"/>
    </row>
    <row r="245" spans="1:260" ht="2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8"/>
      <c r="HV245" s="8"/>
      <c r="HW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H245" s="8"/>
      <c r="II245" s="8"/>
      <c r="IJ245" s="8"/>
      <c r="IK245" s="8"/>
      <c r="IL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  <c r="IW245" s="8"/>
      <c r="IX245" s="8"/>
      <c r="IY245" s="8"/>
      <c r="IZ245" s="8"/>
    </row>
    <row r="246" spans="1:260" ht="2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8"/>
      <c r="HV246" s="8"/>
      <c r="HW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H246" s="8"/>
      <c r="II246" s="8"/>
      <c r="IJ246" s="8"/>
      <c r="IK246" s="8"/>
      <c r="IL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  <c r="IW246" s="8"/>
      <c r="IX246" s="8"/>
      <c r="IY246" s="8"/>
      <c r="IZ246" s="8"/>
    </row>
    <row r="247" spans="1:260" ht="2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8"/>
      <c r="HV247" s="8"/>
      <c r="HW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H247" s="8"/>
      <c r="II247" s="8"/>
      <c r="IJ247" s="8"/>
      <c r="IK247" s="8"/>
      <c r="IL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  <c r="IW247" s="8"/>
      <c r="IX247" s="8"/>
      <c r="IY247" s="8"/>
      <c r="IZ247" s="8"/>
    </row>
    <row r="248" spans="1:260" ht="2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S248" s="8"/>
      <c r="HT248" s="8"/>
      <c r="HU248" s="8"/>
      <c r="HV248" s="8"/>
      <c r="HW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H248" s="8"/>
      <c r="II248" s="8"/>
      <c r="IJ248" s="8"/>
      <c r="IK248" s="8"/>
      <c r="IL248" s="8"/>
      <c r="IM248" s="8"/>
      <c r="IN248" s="8"/>
      <c r="IO248" s="8"/>
      <c r="IP248" s="8"/>
      <c r="IQ248" s="8"/>
      <c r="IR248" s="8"/>
      <c r="IS248" s="8"/>
      <c r="IT248" s="8"/>
      <c r="IU248" s="8"/>
      <c r="IV248" s="8"/>
      <c r="IW248" s="8"/>
      <c r="IX248" s="8"/>
      <c r="IY248" s="8"/>
      <c r="IZ248" s="8"/>
    </row>
    <row r="249" spans="1:260" ht="2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8"/>
      <c r="HV249" s="8"/>
      <c r="HW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H249" s="8"/>
      <c r="II249" s="8"/>
      <c r="IJ249" s="8"/>
      <c r="IK249" s="8"/>
      <c r="IL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IW249" s="8"/>
      <c r="IX249" s="8"/>
      <c r="IY249" s="8"/>
      <c r="IZ249" s="8"/>
    </row>
    <row r="250" spans="1:260" ht="2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S250" s="8"/>
      <c r="HT250" s="8"/>
      <c r="HU250" s="8"/>
      <c r="HV250" s="8"/>
      <c r="HW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H250" s="8"/>
      <c r="II250" s="8"/>
      <c r="IJ250" s="8"/>
      <c r="IK250" s="8"/>
      <c r="IL250" s="8"/>
      <c r="IM250" s="8"/>
      <c r="IN250" s="8"/>
      <c r="IO250" s="8"/>
      <c r="IP250" s="8"/>
      <c r="IQ250" s="8"/>
      <c r="IR250" s="8"/>
      <c r="IS250" s="8"/>
      <c r="IT250" s="8"/>
      <c r="IU250" s="8"/>
      <c r="IV250" s="8"/>
      <c r="IW250" s="8"/>
      <c r="IX250" s="8"/>
      <c r="IY250" s="8"/>
      <c r="IZ250" s="8"/>
    </row>
    <row r="251" spans="1:260" ht="2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S251" s="8"/>
      <c r="HT251" s="8"/>
      <c r="HU251" s="8"/>
      <c r="HV251" s="8"/>
      <c r="HW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H251" s="8"/>
      <c r="II251" s="8"/>
      <c r="IJ251" s="8"/>
      <c r="IK251" s="8"/>
      <c r="IL251" s="8"/>
      <c r="IM251" s="8"/>
      <c r="IN251" s="8"/>
      <c r="IO251" s="8"/>
      <c r="IP251" s="8"/>
      <c r="IQ251" s="8"/>
      <c r="IR251" s="8"/>
      <c r="IS251" s="8"/>
      <c r="IT251" s="8"/>
      <c r="IU251" s="8"/>
      <c r="IV251" s="8"/>
      <c r="IW251" s="8"/>
      <c r="IX251" s="8"/>
      <c r="IY251" s="8"/>
      <c r="IZ251" s="8"/>
    </row>
    <row r="252" spans="1:260" ht="2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S252" s="8"/>
      <c r="HT252" s="8"/>
      <c r="HU252" s="8"/>
      <c r="HV252" s="8"/>
      <c r="HW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H252" s="8"/>
      <c r="II252" s="8"/>
      <c r="IJ252" s="8"/>
      <c r="IK252" s="8"/>
      <c r="IL252" s="8"/>
      <c r="IM252" s="8"/>
      <c r="IN252" s="8"/>
      <c r="IO252" s="8"/>
      <c r="IP252" s="8"/>
      <c r="IQ252" s="8"/>
      <c r="IR252" s="8"/>
      <c r="IS252" s="8"/>
      <c r="IT252" s="8"/>
      <c r="IU252" s="8"/>
      <c r="IV252" s="8"/>
      <c r="IW252" s="8"/>
      <c r="IX252" s="8"/>
      <c r="IY252" s="8"/>
      <c r="IZ252" s="8"/>
    </row>
    <row r="253" spans="1:260" ht="2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S253" s="8"/>
      <c r="HT253" s="8"/>
      <c r="HU253" s="8"/>
      <c r="HV253" s="8"/>
      <c r="HW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H253" s="8"/>
      <c r="II253" s="8"/>
      <c r="IJ253" s="8"/>
      <c r="IK253" s="8"/>
      <c r="IL253" s="8"/>
      <c r="IM253" s="8"/>
      <c r="IN253" s="8"/>
      <c r="IO253" s="8"/>
      <c r="IP253" s="8"/>
      <c r="IQ253" s="8"/>
      <c r="IR253" s="8"/>
      <c r="IS253" s="8"/>
      <c r="IT253" s="8"/>
      <c r="IU253" s="8"/>
      <c r="IV253" s="8"/>
      <c r="IW253" s="8"/>
      <c r="IX253" s="8"/>
      <c r="IY253" s="8"/>
      <c r="IZ253" s="8"/>
    </row>
    <row r="254" spans="1:260" ht="2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8"/>
      <c r="GD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S254" s="8"/>
      <c r="HT254" s="8"/>
      <c r="HU254" s="8"/>
      <c r="HV254" s="8"/>
      <c r="HW254" s="8"/>
      <c r="HX254" s="8"/>
      <c r="HY254" s="8"/>
      <c r="HZ254" s="8"/>
      <c r="IA254" s="8"/>
      <c r="IB254" s="8"/>
      <c r="IC254" s="8"/>
      <c r="ID254" s="8"/>
      <c r="IE254" s="8"/>
      <c r="IF254" s="8"/>
      <c r="IG254" s="8"/>
      <c r="IH254" s="8"/>
      <c r="II254" s="8"/>
      <c r="IJ254" s="8"/>
      <c r="IK254" s="8"/>
      <c r="IL254" s="8"/>
      <c r="IM254" s="8"/>
      <c r="IN254" s="8"/>
      <c r="IO254" s="8"/>
      <c r="IP254" s="8"/>
      <c r="IQ254" s="8"/>
      <c r="IR254" s="8"/>
      <c r="IS254" s="8"/>
      <c r="IT254" s="8"/>
      <c r="IU254" s="8"/>
      <c r="IV254" s="8"/>
      <c r="IW254" s="8"/>
      <c r="IX254" s="8"/>
      <c r="IY254" s="8"/>
      <c r="IZ254" s="8"/>
    </row>
    <row r="255" spans="1:260" ht="2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S255" s="8"/>
      <c r="HT255" s="8"/>
      <c r="HU255" s="8"/>
      <c r="HV255" s="8"/>
      <c r="HW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H255" s="8"/>
      <c r="II255" s="8"/>
      <c r="IJ255" s="8"/>
      <c r="IK255" s="8"/>
      <c r="IL255" s="8"/>
      <c r="IM255" s="8"/>
      <c r="IN255" s="8"/>
      <c r="IO255" s="8"/>
      <c r="IP255" s="8"/>
      <c r="IQ255" s="8"/>
      <c r="IR255" s="8"/>
      <c r="IS255" s="8"/>
      <c r="IT255" s="8"/>
      <c r="IU255" s="8"/>
      <c r="IV255" s="8"/>
      <c r="IW255" s="8"/>
      <c r="IX255" s="8"/>
      <c r="IY255" s="8"/>
      <c r="IZ255" s="8"/>
    </row>
    <row r="256" spans="1:260" ht="2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  <c r="GD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S256" s="8"/>
      <c r="HT256" s="8"/>
      <c r="HU256" s="8"/>
      <c r="HV256" s="8"/>
      <c r="HW256" s="8"/>
      <c r="HX256" s="8"/>
      <c r="HY256" s="8"/>
      <c r="HZ256" s="8"/>
      <c r="IA256" s="8"/>
      <c r="IB256" s="8"/>
      <c r="IC256" s="8"/>
      <c r="ID256" s="8"/>
      <c r="IE256" s="8"/>
      <c r="IF256" s="8"/>
      <c r="IG256" s="8"/>
      <c r="IH256" s="8"/>
      <c r="II256" s="8"/>
      <c r="IJ256" s="8"/>
      <c r="IK256" s="8"/>
      <c r="IL256" s="8"/>
      <c r="IM256" s="8"/>
      <c r="IN256" s="8"/>
      <c r="IO256" s="8"/>
      <c r="IP256" s="8"/>
      <c r="IQ256" s="8"/>
      <c r="IR256" s="8"/>
      <c r="IS256" s="8"/>
      <c r="IT256" s="8"/>
      <c r="IU256" s="8"/>
      <c r="IV256" s="8"/>
      <c r="IW256" s="8"/>
      <c r="IX256" s="8"/>
      <c r="IY256" s="8"/>
      <c r="IZ256" s="8"/>
    </row>
    <row r="257" spans="1:260" ht="2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  <c r="HK257" s="8"/>
      <c r="HL257" s="8"/>
      <c r="HM257" s="8"/>
      <c r="HN257" s="8"/>
      <c r="HO257" s="8"/>
      <c r="HP257" s="8"/>
      <c r="HQ257" s="8"/>
      <c r="HR257" s="8"/>
      <c r="HS257" s="8"/>
      <c r="HT257" s="8"/>
      <c r="HU257" s="8"/>
      <c r="HV257" s="8"/>
      <c r="HW257" s="8"/>
      <c r="HX257" s="8"/>
      <c r="HY257" s="8"/>
      <c r="HZ257" s="8"/>
      <c r="IA257" s="8"/>
      <c r="IB257" s="8"/>
      <c r="IC257" s="8"/>
      <c r="ID257" s="8"/>
      <c r="IE257" s="8"/>
      <c r="IF257" s="8"/>
      <c r="IG257" s="8"/>
      <c r="IH257" s="8"/>
      <c r="II257" s="8"/>
      <c r="IJ257" s="8"/>
      <c r="IK257" s="8"/>
      <c r="IL257" s="8"/>
      <c r="IM257" s="8"/>
      <c r="IN257" s="8"/>
      <c r="IO257" s="8"/>
      <c r="IP257" s="8"/>
      <c r="IQ257" s="8"/>
      <c r="IR257" s="8"/>
      <c r="IS257" s="8"/>
      <c r="IT257" s="8"/>
      <c r="IU257" s="8"/>
      <c r="IV257" s="8"/>
      <c r="IW257" s="8"/>
      <c r="IX257" s="8"/>
      <c r="IY257" s="8"/>
      <c r="IZ257" s="8"/>
    </row>
    <row r="258" spans="1:260" ht="2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S258" s="8"/>
      <c r="HT258" s="8"/>
      <c r="HU258" s="8"/>
      <c r="HV258" s="8"/>
      <c r="HW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H258" s="8"/>
      <c r="II258" s="8"/>
      <c r="IJ258" s="8"/>
      <c r="IK258" s="8"/>
      <c r="IL258" s="8"/>
      <c r="IM258" s="8"/>
      <c r="IN258" s="8"/>
      <c r="IO258" s="8"/>
      <c r="IP258" s="8"/>
      <c r="IQ258" s="8"/>
      <c r="IR258" s="8"/>
      <c r="IS258" s="8"/>
      <c r="IT258" s="8"/>
      <c r="IU258" s="8"/>
      <c r="IV258" s="8"/>
      <c r="IW258" s="8"/>
      <c r="IX258" s="8"/>
      <c r="IY258" s="8"/>
      <c r="IZ258" s="8"/>
    </row>
    <row r="259" spans="1:260" ht="2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  <c r="GD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O259" s="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S259" s="8"/>
      <c r="HT259" s="8"/>
      <c r="HU259" s="8"/>
      <c r="HV259" s="8"/>
      <c r="HW259" s="8"/>
      <c r="HX259" s="8"/>
      <c r="HY259" s="8"/>
      <c r="HZ259" s="8"/>
      <c r="IA259" s="8"/>
      <c r="IB259" s="8"/>
      <c r="IC259" s="8"/>
      <c r="ID259" s="8"/>
      <c r="IE259" s="8"/>
      <c r="IF259" s="8"/>
      <c r="IG259" s="8"/>
      <c r="IH259" s="8"/>
      <c r="II259" s="8"/>
      <c r="IJ259" s="8"/>
      <c r="IK259" s="8"/>
      <c r="IL259" s="8"/>
      <c r="IM259" s="8"/>
      <c r="IN259" s="8"/>
      <c r="IO259" s="8"/>
      <c r="IP259" s="8"/>
      <c r="IQ259" s="8"/>
      <c r="IR259" s="8"/>
      <c r="IS259" s="8"/>
      <c r="IT259" s="8"/>
      <c r="IU259" s="8"/>
      <c r="IV259" s="8"/>
      <c r="IW259" s="8"/>
      <c r="IX259" s="8"/>
      <c r="IY259" s="8"/>
      <c r="IZ259" s="8"/>
    </row>
    <row r="260" spans="1:260" ht="2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S260" s="8"/>
      <c r="HT260" s="8"/>
      <c r="HU260" s="8"/>
      <c r="HV260" s="8"/>
      <c r="HW260" s="8"/>
      <c r="HX260" s="8"/>
      <c r="HY260" s="8"/>
      <c r="HZ260" s="8"/>
      <c r="IA260" s="8"/>
      <c r="IB260" s="8"/>
      <c r="IC260" s="8"/>
      <c r="ID260" s="8"/>
      <c r="IE260" s="8"/>
      <c r="IF260" s="8"/>
      <c r="IG260" s="8"/>
      <c r="IH260" s="8"/>
      <c r="II260" s="8"/>
      <c r="IJ260" s="8"/>
      <c r="IK260" s="8"/>
      <c r="IL260" s="8"/>
      <c r="IM260" s="8"/>
      <c r="IN260" s="8"/>
      <c r="IO260" s="8"/>
      <c r="IP260" s="8"/>
      <c r="IQ260" s="8"/>
      <c r="IR260" s="8"/>
      <c r="IS260" s="8"/>
      <c r="IT260" s="8"/>
      <c r="IU260" s="8"/>
      <c r="IV260" s="8"/>
      <c r="IW260" s="8"/>
      <c r="IX260" s="8"/>
      <c r="IY260" s="8"/>
      <c r="IZ260" s="8"/>
    </row>
    <row r="261" spans="1:260" ht="2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  <c r="GD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O261" s="8"/>
      <c r="GP261" s="8"/>
      <c r="GQ261" s="8"/>
      <c r="GR261" s="8"/>
      <c r="GS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D261" s="8"/>
      <c r="HE261" s="8"/>
      <c r="HF261" s="8"/>
      <c r="HG261" s="8"/>
      <c r="HH261" s="8"/>
      <c r="HI261" s="8"/>
      <c r="HJ261" s="8"/>
      <c r="HK261" s="8"/>
      <c r="HL261" s="8"/>
      <c r="HM261" s="8"/>
      <c r="HN261" s="8"/>
      <c r="HO261" s="8"/>
      <c r="HP261" s="8"/>
      <c r="HQ261" s="8"/>
      <c r="HR261" s="8"/>
      <c r="HS261" s="8"/>
      <c r="HT261" s="8"/>
      <c r="HU261" s="8"/>
      <c r="HV261" s="8"/>
      <c r="HW261" s="8"/>
      <c r="HX261" s="8"/>
      <c r="HY261" s="8"/>
      <c r="HZ261" s="8"/>
      <c r="IA261" s="8"/>
      <c r="IB261" s="8"/>
      <c r="IC261" s="8"/>
      <c r="ID261" s="8"/>
      <c r="IE261" s="8"/>
      <c r="IF261" s="8"/>
      <c r="IG261" s="8"/>
      <c r="IH261" s="8"/>
      <c r="II261" s="8"/>
      <c r="IJ261" s="8"/>
      <c r="IK261" s="8"/>
      <c r="IL261" s="8"/>
      <c r="IM261" s="8"/>
      <c r="IN261" s="8"/>
      <c r="IO261" s="8"/>
      <c r="IP261" s="8"/>
      <c r="IQ261" s="8"/>
      <c r="IR261" s="8"/>
      <c r="IS261" s="8"/>
      <c r="IT261" s="8"/>
      <c r="IU261" s="8"/>
      <c r="IV261" s="8"/>
      <c r="IW261" s="8"/>
      <c r="IX261" s="8"/>
      <c r="IY261" s="8"/>
      <c r="IZ261" s="8"/>
    </row>
    <row r="262" spans="1:260" ht="2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  <c r="GD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O262" s="8"/>
      <c r="GP262" s="8"/>
      <c r="GQ262" s="8"/>
      <c r="GR262" s="8"/>
      <c r="GS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D262" s="8"/>
      <c r="HE262" s="8"/>
      <c r="HF262" s="8"/>
      <c r="HG262" s="8"/>
      <c r="HH262" s="8"/>
      <c r="HI262" s="8"/>
      <c r="HJ262" s="8"/>
      <c r="HK262" s="8"/>
      <c r="HL262" s="8"/>
      <c r="HM262" s="8"/>
      <c r="HN262" s="8"/>
      <c r="HO262" s="8"/>
      <c r="HP262" s="8"/>
      <c r="HQ262" s="8"/>
      <c r="HR262" s="8"/>
      <c r="HS262" s="8"/>
      <c r="HT262" s="8"/>
      <c r="HU262" s="8"/>
      <c r="HV262" s="8"/>
      <c r="HW262" s="8"/>
      <c r="HX262" s="8"/>
      <c r="HY262" s="8"/>
      <c r="HZ262" s="8"/>
      <c r="IA262" s="8"/>
      <c r="IB262" s="8"/>
      <c r="IC262" s="8"/>
      <c r="ID262" s="8"/>
      <c r="IE262" s="8"/>
      <c r="IF262" s="8"/>
      <c r="IG262" s="8"/>
      <c r="IH262" s="8"/>
      <c r="II262" s="8"/>
      <c r="IJ262" s="8"/>
      <c r="IK262" s="8"/>
      <c r="IL262" s="8"/>
      <c r="IM262" s="8"/>
      <c r="IN262" s="8"/>
      <c r="IO262" s="8"/>
      <c r="IP262" s="8"/>
      <c r="IQ262" s="8"/>
      <c r="IR262" s="8"/>
      <c r="IS262" s="8"/>
      <c r="IT262" s="8"/>
      <c r="IU262" s="8"/>
      <c r="IV262" s="8"/>
      <c r="IW262" s="8"/>
      <c r="IX262" s="8"/>
      <c r="IY262" s="8"/>
      <c r="IZ262" s="8"/>
    </row>
    <row r="263" spans="1:260" ht="2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S263" s="8"/>
      <c r="HT263" s="8"/>
      <c r="HU263" s="8"/>
      <c r="HV263" s="8"/>
      <c r="HW263" s="8"/>
      <c r="HX263" s="8"/>
      <c r="HY263" s="8"/>
      <c r="HZ263" s="8"/>
      <c r="IA263" s="8"/>
      <c r="IB263" s="8"/>
      <c r="IC263" s="8"/>
      <c r="ID263" s="8"/>
      <c r="IE263" s="8"/>
      <c r="IF263" s="8"/>
      <c r="IG263" s="8"/>
      <c r="IH263" s="8"/>
      <c r="II263" s="8"/>
      <c r="IJ263" s="8"/>
      <c r="IK263" s="8"/>
      <c r="IL263" s="8"/>
      <c r="IM263" s="8"/>
      <c r="IN263" s="8"/>
      <c r="IO263" s="8"/>
      <c r="IP263" s="8"/>
      <c r="IQ263" s="8"/>
      <c r="IR263" s="8"/>
      <c r="IS263" s="8"/>
      <c r="IT263" s="8"/>
      <c r="IU263" s="8"/>
      <c r="IV263" s="8"/>
      <c r="IW263" s="8"/>
      <c r="IX263" s="8"/>
      <c r="IY263" s="8"/>
      <c r="IZ263" s="8"/>
    </row>
    <row r="264" spans="1:260" ht="2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O264" s="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S264" s="8"/>
      <c r="HT264" s="8"/>
      <c r="HU264" s="8"/>
      <c r="HV264" s="8"/>
      <c r="HW264" s="8"/>
      <c r="HX264" s="8"/>
      <c r="HY264" s="8"/>
      <c r="HZ264" s="8"/>
      <c r="IA264" s="8"/>
      <c r="IB264" s="8"/>
      <c r="IC264" s="8"/>
      <c r="ID264" s="8"/>
      <c r="IE264" s="8"/>
      <c r="IF264" s="8"/>
      <c r="IG264" s="8"/>
      <c r="IH264" s="8"/>
      <c r="II264" s="8"/>
      <c r="IJ264" s="8"/>
      <c r="IK264" s="8"/>
      <c r="IL264" s="8"/>
      <c r="IM264" s="8"/>
      <c r="IN264" s="8"/>
      <c r="IO264" s="8"/>
      <c r="IP264" s="8"/>
      <c r="IQ264" s="8"/>
      <c r="IR264" s="8"/>
      <c r="IS264" s="8"/>
      <c r="IT264" s="8"/>
      <c r="IU264" s="8"/>
      <c r="IV264" s="8"/>
      <c r="IW264" s="8"/>
      <c r="IX264" s="8"/>
      <c r="IY264" s="8"/>
      <c r="IZ264" s="8"/>
    </row>
    <row r="265" spans="1:260" ht="2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  <c r="GD265" s="8"/>
      <c r="GE265" s="8"/>
      <c r="GF265" s="8"/>
      <c r="GG265" s="8"/>
      <c r="GH265" s="8"/>
      <c r="GI265" s="8"/>
      <c r="GJ265" s="8"/>
      <c r="GK265" s="8"/>
      <c r="GL265" s="8"/>
      <c r="GM265" s="8"/>
      <c r="GN265" s="8"/>
      <c r="GO265" s="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  <c r="HK265" s="8"/>
      <c r="HL265" s="8"/>
      <c r="HM265" s="8"/>
      <c r="HN265" s="8"/>
      <c r="HO265" s="8"/>
      <c r="HP265" s="8"/>
      <c r="HQ265" s="8"/>
      <c r="HR265" s="8"/>
      <c r="HS265" s="8"/>
      <c r="HT265" s="8"/>
      <c r="HU265" s="8"/>
      <c r="HV265" s="8"/>
      <c r="HW265" s="8"/>
      <c r="HX265" s="8"/>
      <c r="HY265" s="8"/>
      <c r="HZ265" s="8"/>
      <c r="IA265" s="8"/>
      <c r="IB265" s="8"/>
      <c r="IC265" s="8"/>
      <c r="ID265" s="8"/>
      <c r="IE265" s="8"/>
      <c r="IF265" s="8"/>
      <c r="IG265" s="8"/>
      <c r="IH265" s="8"/>
      <c r="II265" s="8"/>
      <c r="IJ265" s="8"/>
      <c r="IK265" s="8"/>
      <c r="IL265" s="8"/>
      <c r="IM265" s="8"/>
      <c r="IN265" s="8"/>
      <c r="IO265" s="8"/>
      <c r="IP265" s="8"/>
      <c r="IQ265" s="8"/>
      <c r="IR265" s="8"/>
      <c r="IS265" s="8"/>
      <c r="IT265" s="8"/>
      <c r="IU265" s="8"/>
      <c r="IV265" s="8"/>
      <c r="IW265" s="8"/>
      <c r="IX265" s="8"/>
      <c r="IY265" s="8"/>
      <c r="IZ265" s="8"/>
    </row>
    <row r="266" spans="1:260" ht="2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  <c r="GD266" s="8"/>
      <c r="GE266" s="8"/>
      <c r="GF266" s="8"/>
      <c r="GG266" s="8"/>
      <c r="GH266" s="8"/>
      <c r="GI266" s="8"/>
      <c r="GJ266" s="8"/>
      <c r="GK266" s="8"/>
      <c r="GL266" s="8"/>
      <c r="GM266" s="8"/>
      <c r="GN266" s="8"/>
      <c r="GO266" s="8"/>
      <c r="GP266" s="8"/>
      <c r="GQ266" s="8"/>
      <c r="GR266" s="8"/>
      <c r="GS266" s="8"/>
      <c r="GT266" s="8"/>
      <c r="GU266" s="8"/>
      <c r="GV266" s="8"/>
      <c r="GW266" s="8"/>
      <c r="GX266" s="8"/>
      <c r="GY266" s="8"/>
      <c r="GZ266" s="8"/>
      <c r="HA266" s="8"/>
      <c r="HB266" s="8"/>
      <c r="HC266" s="8"/>
      <c r="HD266" s="8"/>
      <c r="HE266" s="8"/>
      <c r="HF266" s="8"/>
      <c r="HG266" s="8"/>
      <c r="HH266" s="8"/>
      <c r="HI266" s="8"/>
      <c r="HJ266" s="8"/>
      <c r="HK266" s="8"/>
      <c r="HL266" s="8"/>
      <c r="HM266" s="8"/>
      <c r="HN266" s="8"/>
      <c r="HO266" s="8"/>
      <c r="HP266" s="8"/>
      <c r="HQ266" s="8"/>
      <c r="HR266" s="8"/>
      <c r="HS266" s="8"/>
      <c r="HT266" s="8"/>
      <c r="HU266" s="8"/>
      <c r="HV266" s="8"/>
      <c r="HW266" s="8"/>
      <c r="HX266" s="8"/>
      <c r="HY266" s="8"/>
      <c r="HZ266" s="8"/>
      <c r="IA266" s="8"/>
      <c r="IB266" s="8"/>
      <c r="IC266" s="8"/>
      <c r="ID266" s="8"/>
      <c r="IE266" s="8"/>
      <c r="IF266" s="8"/>
      <c r="IG266" s="8"/>
      <c r="IH266" s="8"/>
      <c r="II266" s="8"/>
      <c r="IJ266" s="8"/>
      <c r="IK266" s="8"/>
      <c r="IL266" s="8"/>
      <c r="IM266" s="8"/>
      <c r="IN266" s="8"/>
      <c r="IO266" s="8"/>
      <c r="IP266" s="8"/>
      <c r="IQ266" s="8"/>
      <c r="IR266" s="8"/>
      <c r="IS266" s="8"/>
      <c r="IT266" s="8"/>
      <c r="IU266" s="8"/>
      <c r="IV266" s="8"/>
      <c r="IW266" s="8"/>
      <c r="IX266" s="8"/>
      <c r="IY266" s="8"/>
      <c r="IZ266" s="8"/>
    </row>
    <row r="267" spans="1:260" ht="2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  <c r="GD267" s="8"/>
      <c r="GE267" s="8"/>
      <c r="GF267" s="8"/>
      <c r="GG267" s="8"/>
      <c r="GH267" s="8"/>
      <c r="GI267" s="8"/>
      <c r="GJ267" s="8"/>
      <c r="GK267" s="8"/>
      <c r="GL267" s="8"/>
      <c r="GM267" s="8"/>
      <c r="GN267" s="8"/>
      <c r="GO267" s="8"/>
      <c r="GP267" s="8"/>
      <c r="GQ267" s="8"/>
      <c r="GR267" s="8"/>
      <c r="GS267" s="8"/>
      <c r="GT267" s="8"/>
      <c r="GU267" s="8"/>
      <c r="GV267" s="8"/>
      <c r="GW267" s="8"/>
      <c r="GX267" s="8"/>
      <c r="GY267" s="8"/>
      <c r="GZ267" s="8"/>
      <c r="HA267" s="8"/>
      <c r="HB267" s="8"/>
      <c r="HC267" s="8"/>
      <c r="HD267" s="8"/>
      <c r="HE267" s="8"/>
      <c r="HF267" s="8"/>
      <c r="HG267" s="8"/>
      <c r="HH267" s="8"/>
      <c r="HI267" s="8"/>
      <c r="HJ267" s="8"/>
      <c r="HK267" s="8"/>
      <c r="HL267" s="8"/>
      <c r="HM267" s="8"/>
      <c r="HN267" s="8"/>
      <c r="HO267" s="8"/>
      <c r="HP267" s="8"/>
      <c r="HQ267" s="8"/>
      <c r="HR267" s="8"/>
      <c r="HS267" s="8"/>
      <c r="HT267" s="8"/>
      <c r="HU267" s="8"/>
      <c r="HV267" s="8"/>
      <c r="HW267" s="8"/>
      <c r="HX267" s="8"/>
      <c r="HY267" s="8"/>
      <c r="HZ267" s="8"/>
      <c r="IA267" s="8"/>
      <c r="IB267" s="8"/>
      <c r="IC267" s="8"/>
      <c r="ID267" s="8"/>
      <c r="IE267" s="8"/>
      <c r="IF267" s="8"/>
      <c r="IG267" s="8"/>
      <c r="IH267" s="8"/>
      <c r="II267" s="8"/>
      <c r="IJ267" s="8"/>
      <c r="IK267" s="8"/>
      <c r="IL267" s="8"/>
      <c r="IM267" s="8"/>
      <c r="IN267" s="8"/>
      <c r="IO267" s="8"/>
      <c r="IP267" s="8"/>
      <c r="IQ267" s="8"/>
      <c r="IR267" s="8"/>
      <c r="IS267" s="8"/>
      <c r="IT267" s="8"/>
      <c r="IU267" s="8"/>
      <c r="IV267" s="8"/>
      <c r="IW267" s="8"/>
      <c r="IX267" s="8"/>
      <c r="IY267" s="8"/>
      <c r="IZ267" s="8"/>
    </row>
    <row r="268" spans="1:260" ht="2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8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  <c r="HK268" s="8"/>
      <c r="HL268" s="8"/>
      <c r="HM268" s="8"/>
      <c r="HN268" s="8"/>
      <c r="HO268" s="8"/>
      <c r="HP268" s="8"/>
      <c r="HQ268" s="8"/>
      <c r="HR268" s="8"/>
      <c r="HS268" s="8"/>
      <c r="HT268" s="8"/>
      <c r="HU268" s="8"/>
      <c r="HV268" s="8"/>
      <c r="HW268" s="8"/>
      <c r="HX268" s="8"/>
      <c r="HY268" s="8"/>
      <c r="HZ268" s="8"/>
      <c r="IA268" s="8"/>
      <c r="IB268" s="8"/>
      <c r="IC268" s="8"/>
      <c r="ID268" s="8"/>
      <c r="IE268" s="8"/>
      <c r="IF268" s="8"/>
      <c r="IG268" s="8"/>
      <c r="IH268" s="8"/>
      <c r="II268" s="8"/>
      <c r="IJ268" s="8"/>
      <c r="IK268" s="8"/>
      <c r="IL268" s="8"/>
      <c r="IM268" s="8"/>
      <c r="IN268" s="8"/>
      <c r="IO268" s="8"/>
      <c r="IP268" s="8"/>
      <c r="IQ268" s="8"/>
      <c r="IR268" s="8"/>
      <c r="IS268" s="8"/>
      <c r="IT268" s="8"/>
      <c r="IU268" s="8"/>
      <c r="IV268" s="8"/>
      <c r="IW268" s="8"/>
      <c r="IX268" s="8"/>
      <c r="IY268" s="8"/>
      <c r="IZ268" s="8"/>
    </row>
    <row r="269" spans="1:260" ht="2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8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  <c r="HK269" s="8"/>
      <c r="HL269" s="8"/>
      <c r="HM269" s="8"/>
      <c r="HN269" s="8"/>
      <c r="HO269" s="8"/>
      <c r="HP269" s="8"/>
      <c r="HQ269" s="8"/>
      <c r="HR269" s="8"/>
      <c r="HS269" s="8"/>
      <c r="HT269" s="8"/>
      <c r="HU269" s="8"/>
      <c r="HV269" s="8"/>
      <c r="HW269" s="8"/>
      <c r="HX269" s="8"/>
      <c r="HY269" s="8"/>
      <c r="HZ269" s="8"/>
      <c r="IA269" s="8"/>
      <c r="IB269" s="8"/>
      <c r="IC269" s="8"/>
      <c r="ID269" s="8"/>
      <c r="IE269" s="8"/>
      <c r="IF269" s="8"/>
      <c r="IG269" s="8"/>
      <c r="IH269" s="8"/>
      <c r="II269" s="8"/>
      <c r="IJ269" s="8"/>
      <c r="IK269" s="8"/>
      <c r="IL269" s="8"/>
      <c r="IM269" s="8"/>
      <c r="IN269" s="8"/>
      <c r="IO269" s="8"/>
      <c r="IP269" s="8"/>
      <c r="IQ269" s="8"/>
      <c r="IR269" s="8"/>
      <c r="IS269" s="8"/>
      <c r="IT269" s="8"/>
      <c r="IU269" s="8"/>
      <c r="IV269" s="8"/>
      <c r="IW269" s="8"/>
      <c r="IX269" s="8"/>
      <c r="IY269" s="8"/>
      <c r="IZ269" s="8"/>
    </row>
    <row r="270" spans="1:260" ht="2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  <c r="HK270" s="8"/>
      <c r="HL270" s="8"/>
      <c r="HM270" s="8"/>
      <c r="HN270" s="8"/>
      <c r="HO270" s="8"/>
      <c r="HP270" s="8"/>
      <c r="HQ270" s="8"/>
      <c r="HR270" s="8"/>
      <c r="HS270" s="8"/>
      <c r="HT270" s="8"/>
      <c r="HU270" s="8"/>
      <c r="HV270" s="8"/>
      <c r="HW270" s="8"/>
      <c r="HX270" s="8"/>
      <c r="HY270" s="8"/>
      <c r="HZ270" s="8"/>
      <c r="IA270" s="8"/>
      <c r="IB270" s="8"/>
      <c r="IC270" s="8"/>
      <c r="ID270" s="8"/>
      <c r="IE270" s="8"/>
      <c r="IF270" s="8"/>
      <c r="IG270" s="8"/>
      <c r="IH270" s="8"/>
      <c r="II270" s="8"/>
      <c r="IJ270" s="8"/>
      <c r="IK270" s="8"/>
      <c r="IL270" s="8"/>
      <c r="IM270" s="8"/>
      <c r="IN270" s="8"/>
      <c r="IO270" s="8"/>
      <c r="IP270" s="8"/>
      <c r="IQ270" s="8"/>
      <c r="IR270" s="8"/>
      <c r="IS270" s="8"/>
      <c r="IT270" s="8"/>
      <c r="IU270" s="8"/>
      <c r="IV270" s="8"/>
      <c r="IW270" s="8"/>
      <c r="IX270" s="8"/>
      <c r="IY270" s="8"/>
      <c r="IZ270" s="8"/>
    </row>
    <row r="271" spans="1:260" ht="2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  <c r="HK271" s="8"/>
      <c r="HL271" s="8"/>
      <c r="HM271" s="8"/>
      <c r="HN271" s="8"/>
      <c r="HO271" s="8"/>
      <c r="HP271" s="8"/>
      <c r="HQ271" s="8"/>
      <c r="HR271" s="8"/>
      <c r="HS271" s="8"/>
      <c r="HT271" s="8"/>
      <c r="HU271" s="8"/>
      <c r="HV271" s="8"/>
      <c r="HW271" s="8"/>
      <c r="HX271" s="8"/>
      <c r="HY271" s="8"/>
      <c r="HZ271" s="8"/>
      <c r="IA271" s="8"/>
      <c r="IB271" s="8"/>
      <c r="IC271" s="8"/>
      <c r="ID271" s="8"/>
      <c r="IE271" s="8"/>
      <c r="IF271" s="8"/>
      <c r="IG271" s="8"/>
      <c r="IH271" s="8"/>
      <c r="II271" s="8"/>
      <c r="IJ271" s="8"/>
      <c r="IK271" s="8"/>
      <c r="IL271" s="8"/>
      <c r="IM271" s="8"/>
      <c r="IN271" s="8"/>
      <c r="IO271" s="8"/>
      <c r="IP271" s="8"/>
      <c r="IQ271" s="8"/>
      <c r="IR271" s="8"/>
      <c r="IS271" s="8"/>
      <c r="IT271" s="8"/>
      <c r="IU271" s="8"/>
      <c r="IV271" s="8"/>
      <c r="IW271" s="8"/>
      <c r="IX271" s="8"/>
      <c r="IY271" s="8"/>
      <c r="IZ271" s="8"/>
    </row>
    <row r="272" spans="1:260" ht="2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  <c r="HL272" s="8"/>
      <c r="HM272" s="8"/>
      <c r="HN272" s="8"/>
      <c r="HO272" s="8"/>
      <c r="HP272" s="8"/>
      <c r="HQ272" s="8"/>
      <c r="HR272" s="8"/>
      <c r="HS272" s="8"/>
      <c r="HT272" s="8"/>
      <c r="HU272" s="8"/>
      <c r="HV272" s="8"/>
      <c r="HW272" s="8"/>
      <c r="HX272" s="8"/>
      <c r="HY272" s="8"/>
      <c r="HZ272" s="8"/>
      <c r="IA272" s="8"/>
      <c r="IB272" s="8"/>
      <c r="IC272" s="8"/>
      <c r="ID272" s="8"/>
      <c r="IE272" s="8"/>
      <c r="IF272" s="8"/>
      <c r="IG272" s="8"/>
      <c r="IH272" s="8"/>
      <c r="II272" s="8"/>
      <c r="IJ272" s="8"/>
      <c r="IK272" s="8"/>
      <c r="IL272" s="8"/>
      <c r="IM272" s="8"/>
      <c r="IN272" s="8"/>
      <c r="IO272" s="8"/>
      <c r="IP272" s="8"/>
      <c r="IQ272" s="8"/>
      <c r="IR272" s="8"/>
      <c r="IS272" s="8"/>
      <c r="IT272" s="8"/>
      <c r="IU272" s="8"/>
      <c r="IV272" s="8"/>
      <c r="IW272" s="8"/>
      <c r="IX272" s="8"/>
      <c r="IY272" s="8"/>
      <c r="IZ272" s="8"/>
    </row>
    <row r="273" spans="1:260" ht="2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  <c r="HK273" s="8"/>
      <c r="HL273" s="8"/>
      <c r="HM273" s="8"/>
      <c r="HN273" s="8"/>
      <c r="HO273" s="8"/>
      <c r="HP273" s="8"/>
      <c r="HQ273" s="8"/>
      <c r="HR273" s="8"/>
      <c r="HS273" s="8"/>
      <c r="HT273" s="8"/>
      <c r="HU273" s="8"/>
      <c r="HV273" s="8"/>
      <c r="HW273" s="8"/>
      <c r="HX273" s="8"/>
      <c r="HY273" s="8"/>
      <c r="HZ273" s="8"/>
      <c r="IA273" s="8"/>
      <c r="IB273" s="8"/>
      <c r="IC273" s="8"/>
      <c r="ID273" s="8"/>
      <c r="IE273" s="8"/>
      <c r="IF273" s="8"/>
      <c r="IG273" s="8"/>
      <c r="IH273" s="8"/>
      <c r="II273" s="8"/>
      <c r="IJ273" s="8"/>
      <c r="IK273" s="8"/>
      <c r="IL273" s="8"/>
      <c r="IM273" s="8"/>
      <c r="IN273" s="8"/>
      <c r="IO273" s="8"/>
      <c r="IP273" s="8"/>
      <c r="IQ273" s="8"/>
      <c r="IR273" s="8"/>
      <c r="IS273" s="8"/>
      <c r="IT273" s="8"/>
      <c r="IU273" s="8"/>
      <c r="IV273" s="8"/>
      <c r="IW273" s="8"/>
      <c r="IX273" s="8"/>
      <c r="IY273" s="8"/>
      <c r="IZ273" s="8"/>
    </row>
    <row r="274" spans="1:260" ht="2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  <c r="GD274" s="8"/>
      <c r="GE274" s="8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  <c r="HK274" s="8"/>
      <c r="HL274" s="8"/>
      <c r="HM274" s="8"/>
      <c r="HN274" s="8"/>
      <c r="HO274" s="8"/>
      <c r="HP274" s="8"/>
      <c r="HQ274" s="8"/>
      <c r="HR274" s="8"/>
      <c r="HS274" s="8"/>
      <c r="HT274" s="8"/>
      <c r="HU274" s="8"/>
      <c r="HV274" s="8"/>
      <c r="HW274" s="8"/>
      <c r="HX274" s="8"/>
      <c r="HY274" s="8"/>
      <c r="HZ274" s="8"/>
      <c r="IA274" s="8"/>
      <c r="IB274" s="8"/>
      <c r="IC274" s="8"/>
      <c r="ID274" s="8"/>
      <c r="IE274" s="8"/>
      <c r="IF274" s="8"/>
      <c r="IG274" s="8"/>
      <c r="IH274" s="8"/>
      <c r="II274" s="8"/>
      <c r="IJ274" s="8"/>
      <c r="IK274" s="8"/>
      <c r="IL274" s="8"/>
      <c r="IM274" s="8"/>
      <c r="IN274" s="8"/>
      <c r="IO274" s="8"/>
      <c r="IP274" s="8"/>
      <c r="IQ274" s="8"/>
      <c r="IR274" s="8"/>
      <c r="IS274" s="8"/>
      <c r="IT274" s="8"/>
      <c r="IU274" s="8"/>
      <c r="IV274" s="8"/>
      <c r="IW274" s="8"/>
      <c r="IX274" s="8"/>
      <c r="IY274" s="8"/>
      <c r="IZ274" s="8"/>
    </row>
    <row r="275" spans="1:260" ht="2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  <c r="HK275" s="8"/>
      <c r="HL275" s="8"/>
      <c r="HM275" s="8"/>
      <c r="HN275" s="8"/>
      <c r="HO275" s="8"/>
      <c r="HP275" s="8"/>
      <c r="HQ275" s="8"/>
      <c r="HR275" s="8"/>
      <c r="HS275" s="8"/>
      <c r="HT275" s="8"/>
      <c r="HU275" s="8"/>
      <c r="HV275" s="8"/>
      <c r="HW275" s="8"/>
      <c r="HX275" s="8"/>
      <c r="HY275" s="8"/>
      <c r="HZ275" s="8"/>
      <c r="IA275" s="8"/>
      <c r="IB275" s="8"/>
      <c r="IC275" s="8"/>
      <c r="ID275" s="8"/>
      <c r="IE275" s="8"/>
      <c r="IF275" s="8"/>
      <c r="IG275" s="8"/>
      <c r="IH275" s="8"/>
      <c r="II275" s="8"/>
      <c r="IJ275" s="8"/>
      <c r="IK275" s="8"/>
      <c r="IL275" s="8"/>
      <c r="IM275" s="8"/>
      <c r="IN275" s="8"/>
      <c r="IO275" s="8"/>
      <c r="IP275" s="8"/>
      <c r="IQ275" s="8"/>
      <c r="IR275" s="8"/>
      <c r="IS275" s="8"/>
      <c r="IT275" s="8"/>
      <c r="IU275" s="8"/>
      <c r="IV275" s="8"/>
      <c r="IW275" s="8"/>
      <c r="IX275" s="8"/>
      <c r="IY275" s="8"/>
      <c r="IZ275" s="8"/>
    </row>
    <row r="276" spans="1:260" ht="2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  <c r="HL276" s="8"/>
      <c r="HM276" s="8"/>
      <c r="HN276" s="8"/>
      <c r="HO276" s="8"/>
      <c r="HP276" s="8"/>
      <c r="HQ276" s="8"/>
      <c r="HR276" s="8"/>
      <c r="HS276" s="8"/>
      <c r="HT276" s="8"/>
      <c r="HU276" s="8"/>
      <c r="HV276" s="8"/>
      <c r="HW276" s="8"/>
      <c r="HX276" s="8"/>
      <c r="HY276" s="8"/>
      <c r="HZ276" s="8"/>
      <c r="IA276" s="8"/>
      <c r="IB276" s="8"/>
      <c r="IC276" s="8"/>
      <c r="ID276" s="8"/>
      <c r="IE276" s="8"/>
      <c r="IF276" s="8"/>
      <c r="IG276" s="8"/>
      <c r="IH276" s="8"/>
      <c r="II276" s="8"/>
      <c r="IJ276" s="8"/>
      <c r="IK276" s="8"/>
      <c r="IL276" s="8"/>
      <c r="IM276" s="8"/>
      <c r="IN276" s="8"/>
      <c r="IO276" s="8"/>
      <c r="IP276" s="8"/>
      <c r="IQ276" s="8"/>
      <c r="IR276" s="8"/>
      <c r="IS276" s="8"/>
      <c r="IT276" s="8"/>
      <c r="IU276" s="8"/>
      <c r="IV276" s="8"/>
      <c r="IW276" s="8"/>
      <c r="IX276" s="8"/>
      <c r="IY276" s="8"/>
      <c r="IZ276" s="8"/>
    </row>
    <row r="277" spans="1:260" ht="2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  <c r="HK277" s="8"/>
      <c r="HL277" s="8"/>
      <c r="HM277" s="8"/>
      <c r="HN277" s="8"/>
      <c r="HO277" s="8"/>
      <c r="HP277" s="8"/>
      <c r="HQ277" s="8"/>
      <c r="HR277" s="8"/>
      <c r="HS277" s="8"/>
      <c r="HT277" s="8"/>
      <c r="HU277" s="8"/>
      <c r="HV277" s="8"/>
      <c r="HW277" s="8"/>
      <c r="HX277" s="8"/>
      <c r="HY277" s="8"/>
      <c r="HZ277" s="8"/>
      <c r="IA277" s="8"/>
      <c r="IB277" s="8"/>
      <c r="IC277" s="8"/>
      <c r="ID277" s="8"/>
      <c r="IE277" s="8"/>
      <c r="IF277" s="8"/>
      <c r="IG277" s="8"/>
      <c r="IH277" s="8"/>
      <c r="II277" s="8"/>
      <c r="IJ277" s="8"/>
      <c r="IK277" s="8"/>
      <c r="IL277" s="8"/>
      <c r="IM277" s="8"/>
      <c r="IN277" s="8"/>
      <c r="IO277" s="8"/>
      <c r="IP277" s="8"/>
      <c r="IQ277" s="8"/>
      <c r="IR277" s="8"/>
      <c r="IS277" s="8"/>
      <c r="IT277" s="8"/>
      <c r="IU277" s="8"/>
      <c r="IV277" s="8"/>
      <c r="IW277" s="8"/>
      <c r="IX277" s="8"/>
      <c r="IY277" s="8"/>
      <c r="IZ277" s="8"/>
    </row>
    <row r="278" spans="1:260" ht="2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  <c r="HK278" s="8"/>
      <c r="HL278" s="8"/>
      <c r="HM278" s="8"/>
      <c r="HN278" s="8"/>
      <c r="HO278" s="8"/>
      <c r="HP278" s="8"/>
      <c r="HQ278" s="8"/>
      <c r="HR278" s="8"/>
      <c r="HS278" s="8"/>
      <c r="HT278" s="8"/>
      <c r="HU278" s="8"/>
      <c r="HV278" s="8"/>
      <c r="HW278" s="8"/>
      <c r="HX278" s="8"/>
      <c r="HY278" s="8"/>
      <c r="HZ278" s="8"/>
      <c r="IA278" s="8"/>
      <c r="IB278" s="8"/>
      <c r="IC278" s="8"/>
      <c r="ID278" s="8"/>
      <c r="IE278" s="8"/>
      <c r="IF278" s="8"/>
      <c r="IG278" s="8"/>
      <c r="IH278" s="8"/>
      <c r="II278" s="8"/>
      <c r="IJ278" s="8"/>
      <c r="IK278" s="8"/>
      <c r="IL278" s="8"/>
      <c r="IM278" s="8"/>
      <c r="IN278" s="8"/>
      <c r="IO278" s="8"/>
      <c r="IP278" s="8"/>
      <c r="IQ278" s="8"/>
      <c r="IR278" s="8"/>
      <c r="IS278" s="8"/>
      <c r="IT278" s="8"/>
      <c r="IU278" s="8"/>
      <c r="IV278" s="8"/>
      <c r="IW278" s="8"/>
      <c r="IX278" s="8"/>
      <c r="IY278" s="8"/>
      <c r="IZ278" s="8"/>
    </row>
    <row r="279" spans="1:260" ht="2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  <c r="GD279" s="8"/>
      <c r="GE279" s="8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  <c r="HK279" s="8"/>
      <c r="HL279" s="8"/>
      <c r="HM279" s="8"/>
      <c r="HN279" s="8"/>
      <c r="HO279" s="8"/>
      <c r="HP279" s="8"/>
      <c r="HQ279" s="8"/>
      <c r="HR279" s="8"/>
      <c r="HS279" s="8"/>
      <c r="HT279" s="8"/>
      <c r="HU279" s="8"/>
      <c r="HV279" s="8"/>
      <c r="HW279" s="8"/>
      <c r="HX279" s="8"/>
      <c r="HY279" s="8"/>
      <c r="HZ279" s="8"/>
      <c r="IA279" s="8"/>
      <c r="IB279" s="8"/>
      <c r="IC279" s="8"/>
      <c r="ID279" s="8"/>
      <c r="IE279" s="8"/>
      <c r="IF279" s="8"/>
      <c r="IG279" s="8"/>
      <c r="IH279" s="8"/>
      <c r="II279" s="8"/>
      <c r="IJ279" s="8"/>
      <c r="IK279" s="8"/>
      <c r="IL279" s="8"/>
      <c r="IM279" s="8"/>
      <c r="IN279" s="8"/>
      <c r="IO279" s="8"/>
      <c r="IP279" s="8"/>
      <c r="IQ279" s="8"/>
      <c r="IR279" s="8"/>
      <c r="IS279" s="8"/>
      <c r="IT279" s="8"/>
      <c r="IU279" s="8"/>
      <c r="IV279" s="8"/>
      <c r="IW279" s="8"/>
      <c r="IX279" s="8"/>
      <c r="IY279" s="8"/>
      <c r="IZ279" s="8"/>
    </row>
    <row r="280" spans="1:260" ht="2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8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  <c r="HK280" s="8"/>
      <c r="HL280" s="8"/>
      <c r="HM280" s="8"/>
      <c r="HN280" s="8"/>
      <c r="HO280" s="8"/>
      <c r="HP280" s="8"/>
      <c r="HQ280" s="8"/>
      <c r="HR280" s="8"/>
      <c r="HS280" s="8"/>
      <c r="HT280" s="8"/>
      <c r="HU280" s="8"/>
      <c r="HV280" s="8"/>
      <c r="HW280" s="8"/>
      <c r="HX280" s="8"/>
      <c r="HY280" s="8"/>
      <c r="HZ280" s="8"/>
      <c r="IA280" s="8"/>
      <c r="IB280" s="8"/>
      <c r="IC280" s="8"/>
      <c r="ID280" s="8"/>
      <c r="IE280" s="8"/>
      <c r="IF280" s="8"/>
      <c r="IG280" s="8"/>
      <c r="IH280" s="8"/>
      <c r="II280" s="8"/>
      <c r="IJ280" s="8"/>
      <c r="IK280" s="8"/>
      <c r="IL280" s="8"/>
      <c r="IM280" s="8"/>
      <c r="IN280" s="8"/>
      <c r="IO280" s="8"/>
      <c r="IP280" s="8"/>
      <c r="IQ280" s="8"/>
      <c r="IR280" s="8"/>
      <c r="IS280" s="8"/>
      <c r="IT280" s="8"/>
      <c r="IU280" s="8"/>
      <c r="IV280" s="8"/>
      <c r="IW280" s="8"/>
      <c r="IX280" s="8"/>
      <c r="IY280" s="8"/>
      <c r="IZ280" s="8"/>
    </row>
    <row r="281" spans="1:260" ht="2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  <c r="GD281" s="8"/>
      <c r="GE281" s="8"/>
      <c r="GF281" s="8"/>
      <c r="GG281" s="8"/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/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/>
      <c r="HK281" s="8"/>
      <c r="HL281" s="8"/>
      <c r="HM281" s="8"/>
      <c r="HN281" s="8"/>
      <c r="HO281" s="8"/>
      <c r="HP281" s="8"/>
      <c r="HQ281" s="8"/>
      <c r="HR281" s="8"/>
      <c r="HS281" s="8"/>
      <c r="HT281" s="8"/>
      <c r="HU281" s="8"/>
      <c r="HV281" s="8"/>
      <c r="HW281" s="8"/>
      <c r="HX281" s="8"/>
      <c r="HY281" s="8"/>
      <c r="HZ281" s="8"/>
      <c r="IA281" s="8"/>
      <c r="IB281" s="8"/>
      <c r="IC281" s="8"/>
      <c r="ID281" s="8"/>
      <c r="IE281" s="8"/>
      <c r="IF281" s="8"/>
      <c r="IG281" s="8"/>
      <c r="IH281" s="8"/>
      <c r="II281" s="8"/>
      <c r="IJ281" s="8"/>
      <c r="IK281" s="8"/>
      <c r="IL281" s="8"/>
      <c r="IM281" s="8"/>
      <c r="IN281" s="8"/>
      <c r="IO281" s="8"/>
      <c r="IP281" s="8"/>
      <c r="IQ281" s="8"/>
      <c r="IR281" s="8"/>
      <c r="IS281" s="8"/>
      <c r="IT281" s="8"/>
      <c r="IU281" s="8"/>
      <c r="IV281" s="8"/>
      <c r="IW281" s="8"/>
      <c r="IX281" s="8"/>
      <c r="IY281" s="8"/>
      <c r="IZ281" s="8"/>
    </row>
    <row r="282" spans="1:260" ht="2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8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  <c r="HK282" s="8"/>
      <c r="HL282" s="8"/>
      <c r="HM282" s="8"/>
      <c r="HN282" s="8"/>
      <c r="HO282" s="8"/>
      <c r="HP282" s="8"/>
      <c r="HQ282" s="8"/>
      <c r="HR282" s="8"/>
      <c r="HS282" s="8"/>
      <c r="HT282" s="8"/>
      <c r="HU282" s="8"/>
      <c r="HV282" s="8"/>
      <c r="HW282" s="8"/>
      <c r="HX282" s="8"/>
      <c r="HY282" s="8"/>
      <c r="HZ282" s="8"/>
      <c r="IA282" s="8"/>
      <c r="IB282" s="8"/>
      <c r="IC282" s="8"/>
      <c r="ID282" s="8"/>
      <c r="IE282" s="8"/>
      <c r="IF282" s="8"/>
      <c r="IG282" s="8"/>
      <c r="IH282" s="8"/>
      <c r="II282" s="8"/>
      <c r="IJ282" s="8"/>
      <c r="IK282" s="8"/>
      <c r="IL282" s="8"/>
      <c r="IM282" s="8"/>
      <c r="IN282" s="8"/>
      <c r="IO282" s="8"/>
      <c r="IP282" s="8"/>
      <c r="IQ282" s="8"/>
      <c r="IR282" s="8"/>
      <c r="IS282" s="8"/>
      <c r="IT282" s="8"/>
      <c r="IU282" s="8"/>
      <c r="IV282" s="8"/>
      <c r="IW282" s="8"/>
      <c r="IX282" s="8"/>
      <c r="IY282" s="8"/>
      <c r="IZ282" s="8"/>
    </row>
    <row r="283" spans="1:260" ht="2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8"/>
      <c r="GD283" s="8"/>
      <c r="GE283" s="8"/>
      <c r="GF283" s="8"/>
      <c r="GG283" s="8"/>
      <c r="GH283" s="8"/>
      <c r="GI283" s="8"/>
      <c r="GJ283" s="8"/>
      <c r="GK283" s="8"/>
      <c r="GL283" s="8"/>
      <c r="GM283" s="8"/>
      <c r="GN283" s="8"/>
      <c r="GO283" s="8"/>
      <c r="GP283" s="8"/>
      <c r="GQ283" s="8"/>
      <c r="GR283" s="8"/>
      <c r="GS283" s="8"/>
      <c r="GT283" s="8"/>
      <c r="GU283" s="8"/>
      <c r="GV283" s="8"/>
      <c r="GW283" s="8"/>
      <c r="GX283" s="8"/>
      <c r="GY283" s="8"/>
      <c r="GZ283" s="8"/>
      <c r="HA283" s="8"/>
      <c r="HB283" s="8"/>
      <c r="HC283" s="8"/>
      <c r="HD283" s="8"/>
      <c r="HE283" s="8"/>
      <c r="HF283" s="8"/>
      <c r="HG283" s="8"/>
      <c r="HH283" s="8"/>
      <c r="HI283" s="8"/>
      <c r="HJ283" s="8"/>
      <c r="HK283" s="8"/>
      <c r="HL283" s="8"/>
      <c r="HM283" s="8"/>
      <c r="HN283" s="8"/>
      <c r="HO283" s="8"/>
      <c r="HP283" s="8"/>
      <c r="HQ283" s="8"/>
      <c r="HR283" s="8"/>
      <c r="HS283" s="8"/>
      <c r="HT283" s="8"/>
      <c r="HU283" s="8"/>
      <c r="HV283" s="8"/>
      <c r="HW283" s="8"/>
      <c r="HX283" s="8"/>
      <c r="HY283" s="8"/>
      <c r="HZ283" s="8"/>
      <c r="IA283" s="8"/>
      <c r="IB283" s="8"/>
      <c r="IC283" s="8"/>
      <c r="ID283" s="8"/>
      <c r="IE283" s="8"/>
      <c r="IF283" s="8"/>
      <c r="IG283" s="8"/>
      <c r="IH283" s="8"/>
      <c r="II283" s="8"/>
      <c r="IJ283" s="8"/>
      <c r="IK283" s="8"/>
      <c r="IL283" s="8"/>
      <c r="IM283" s="8"/>
      <c r="IN283" s="8"/>
      <c r="IO283" s="8"/>
      <c r="IP283" s="8"/>
      <c r="IQ283" s="8"/>
      <c r="IR283" s="8"/>
      <c r="IS283" s="8"/>
      <c r="IT283" s="8"/>
      <c r="IU283" s="8"/>
      <c r="IV283" s="8"/>
      <c r="IW283" s="8"/>
      <c r="IX283" s="8"/>
      <c r="IY283" s="8"/>
      <c r="IZ283" s="8"/>
    </row>
    <row r="284" spans="1:260" ht="2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  <c r="GD284" s="8"/>
      <c r="GE284" s="8"/>
      <c r="GF284" s="8"/>
      <c r="GG284" s="8"/>
      <c r="GH284" s="8"/>
      <c r="GI284" s="8"/>
      <c r="GJ284" s="8"/>
      <c r="GK284" s="8"/>
      <c r="GL284" s="8"/>
      <c r="GM284" s="8"/>
      <c r="GN284" s="8"/>
      <c r="GO284" s="8"/>
      <c r="GP284" s="8"/>
      <c r="GQ284" s="8"/>
      <c r="GR284" s="8"/>
      <c r="GS284" s="8"/>
      <c r="GT284" s="8"/>
      <c r="GU284" s="8"/>
      <c r="GV284" s="8"/>
      <c r="GW284" s="8"/>
      <c r="GX284" s="8"/>
      <c r="GY284" s="8"/>
      <c r="GZ284" s="8"/>
      <c r="HA284" s="8"/>
      <c r="HB284" s="8"/>
      <c r="HC284" s="8"/>
      <c r="HD284" s="8"/>
      <c r="HE284" s="8"/>
      <c r="HF284" s="8"/>
      <c r="HG284" s="8"/>
      <c r="HH284" s="8"/>
      <c r="HI284" s="8"/>
      <c r="HJ284" s="8"/>
      <c r="HK284" s="8"/>
      <c r="HL284" s="8"/>
      <c r="HM284" s="8"/>
      <c r="HN284" s="8"/>
      <c r="HO284" s="8"/>
      <c r="HP284" s="8"/>
      <c r="HQ284" s="8"/>
      <c r="HR284" s="8"/>
      <c r="HS284" s="8"/>
      <c r="HT284" s="8"/>
      <c r="HU284" s="8"/>
      <c r="HV284" s="8"/>
      <c r="HW284" s="8"/>
      <c r="HX284" s="8"/>
      <c r="HY284" s="8"/>
      <c r="HZ284" s="8"/>
      <c r="IA284" s="8"/>
      <c r="IB284" s="8"/>
      <c r="IC284" s="8"/>
      <c r="ID284" s="8"/>
      <c r="IE284" s="8"/>
      <c r="IF284" s="8"/>
      <c r="IG284" s="8"/>
      <c r="IH284" s="8"/>
      <c r="II284" s="8"/>
      <c r="IJ284" s="8"/>
      <c r="IK284" s="8"/>
      <c r="IL284" s="8"/>
      <c r="IM284" s="8"/>
      <c r="IN284" s="8"/>
      <c r="IO284" s="8"/>
      <c r="IP284" s="8"/>
      <c r="IQ284" s="8"/>
      <c r="IR284" s="8"/>
      <c r="IS284" s="8"/>
      <c r="IT284" s="8"/>
      <c r="IU284" s="8"/>
      <c r="IV284" s="8"/>
      <c r="IW284" s="8"/>
      <c r="IX284" s="8"/>
      <c r="IY284" s="8"/>
      <c r="IZ284" s="8"/>
    </row>
    <row r="285" spans="1:260" ht="2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  <c r="GD285" s="8"/>
      <c r="GE285" s="8"/>
      <c r="GF285" s="8"/>
      <c r="GG285" s="8"/>
      <c r="GH285" s="8"/>
      <c r="GI285" s="8"/>
      <c r="GJ285" s="8"/>
      <c r="GK285" s="8"/>
      <c r="GL285" s="8"/>
      <c r="GM285" s="8"/>
      <c r="GN285" s="8"/>
      <c r="GO285" s="8"/>
      <c r="GP285" s="8"/>
      <c r="GQ285" s="8"/>
      <c r="GR285" s="8"/>
      <c r="GS285" s="8"/>
      <c r="GT285" s="8"/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/>
      <c r="HK285" s="8"/>
      <c r="HL285" s="8"/>
      <c r="HM285" s="8"/>
      <c r="HN285" s="8"/>
      <c r="HO285" s="8"/>
      <c r="HP285" s="8"/>
      <c r="HQ285" s="8"/>
      <c r="HR285" s="8"/>
      <c r="HS285" s="8"/>
      <c r="HT285" s="8"/>
      <c r="HU285" s="8"/>
      <c r="HV285" s="8"/>
      <c r="HW285" s="8"/>
      <c r="HX285" s="8"/>
      <c r="HY285" s="8"/>
      <c r="HZ285" s="8"/>
      <c r="IA285" s="8"/>
      <c r="IB285" s="8"/>
      <c r="IC285" s="8"/>
      <c r="ID285" s="8"/>
      <c r="IE285" s="8"/>
      <c r="IF285" s="8"/>
      <c r="IG285" s="8"/>
      <c r="IH285" s="8"/>
      <c r="II285" s="8"/>
      <c r="IJ285" s="8"/>
      <c r="IK285" s="8"/>
      <c r="IL285" s="8"/>
      <c r="IM285" s="8"/>
      <c r="IN285" s="8"/>
      <c r="IO285" s="8"/>
      <c r="IP285" s="8"/>
      <c r="IQ285" s="8"/>
      <c r="IR285" s="8"/>
      <c r="IS285" s="8"/>
      <c r="IT285" s="8"/>
      <c r="IU285" s="8"/>
      <c r="IV285" s="8"/>
      <c r="IW285" s="8"/>
      <c r="IX285" s="8"/>
      <c r="IY285" s="8"/>
      <c r="IZ285" s="8"/>
    </row>
    <row r="286" spans="1:260" ht="2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</row>
    <row r="287" spans="1:260" ht="2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  <c r="HK287" s="8"/>
      <c r="HL287" s="8"/>
      <c r="HM287" s="8"/>
      <c r="HN287" s="8"/>
      <c r="HO287" s="8"/>
      <c r="HP287" s="8"/>
      <c r="HQ287" s="8"/>
      <c r="HR287" s="8"/>
      <c r="HS287" s="8"/>
      <c r="HT287" s="8"/>
      <c r="HU287" s="8"/>
      <c r="HV287" s="8"/>
      <c r="HW287" s="8"/>
      <c r="HX287" s="8"/>
      <c r="HY287" s="8"/>
      <c r="HZ287" s="8"/>
      <c r="IA287" s="8"/>
      <c r="IB287" s="8"/>
      <c r="IC287" s="8"/>
      <c r="ID287" s="8"/>
      <c r="IE287" s="8"/>
      <c r="IF287" s="8"/>
      <c r="IG287" s="8"/>
      <c r="IH287" s="8"/>
      <c r="II287" s="8"/>
      <c r="IJ287" s="8"/>
      <c r="IK287" s="8"/>
      <c r="IL287" s="8"/>
      <c r="IM287" s="8"/>
      <c r="IN287" s="8"/>
      <c r="IO287" s="8"/>
      <c r="IP287" s="8"/>
      <c r="IQ287" s="8"/>
      <c r="IR287" s="8"/>
      <c r="IS287" s="8"/>
      <c r="IT287" s="8"/>
      <c r="IU287" s="8"/>
      <c r="IV287" s="8"/>
      <c r="IW287" s="8"/>
      <c r="IX287" s="8"/>
      <c r="IY287" s="8"/>
      <c r="IZ287" s="8"/>
    </row>
    <row r="288" spans="1:260" ht="2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  <c r="GD288" s="8"/>
      <c r="GE288" s="8"/>
      <c r="GF288" s="8"/>
      <c r="GG288" s="8"/>
      <c r="GH288" s="8"/>
      <c r="GI288" s="8"/>
      <c r="GJ288" s="8"/>
      <c r="GK288" s="8"/>
      <c r="GL288" s="8"/>
      <c r="GM288" s="8"/>
      <c r="GN288" s="8"/>
      <c r="GO288" s="8"/>
      <c r="GP288" s="8"/>
      <c r="GQ288" s="8"/>
      <c r="GR288" s="8"/>
      <c r="GS288" s="8"/>
      <c r="GT288" s="8"/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/>
      <c r="HK288" s="8"/>
      <c r="HL288" s="8"/>
      <c r="HM288" s="8"/>
      <c r="HN288" s="8"/>
      <c r="HO288" s="8"/>
      <c r="HP288" s="8"/>
      <c r="HQ288" s="8"/>
      <c r="HR288" s="8"/>
      <c r="HS288" s="8"/>
      <c r="HT288" s="8"/>
      <c r="HU288" s="8"/>
      <c r="HV288" s="8"/>
      <c r="HW288" s="8"/>
      <c r="HX288" s="8"/>
      <c r="HY288" s="8"/>
      <c r="HZ288" s="8"/>
      <c r="IA288" s="8"/>
      <c r="IB288" s="8"/>
      <c r="IC288" s="8"/>
      <c r="ID288" s="8"/>
      <c r="IE288" s="8"/>
      <c r="IF288" s="8"/>
      <c r="IG288" s="8"/>
      <c r="IH288" s="8"/>
      <c r="II288" s="8"/>
      <c r="IJ288" s="8"/>
      <c r="IK288" s="8"/>
      <c r="IL288" s="8"/>
      <c r="IM288" s="8"/>
      <c r="IN288" s="8"/>
      <c r="IO288" s="8"/>
      <c r="IP288" s="8"/>
      <c r="IQ288" s="8"/>
      <c r="IR288" s="8"/>
      <c r="IS288" s="8"/>
      <c r="IT288" s="8"/>
      <c r="IU288" s="8"/>
      <c r="IV288" s="8"/>
      <c r="IW288" s="8"/>
      <c r="IX288" s="8"/>
      <c r="IY288" s="8"/>
      <c r="IZ288" s="8"/>
    </row>
    <row r="289" spans="1:260" ht="2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8"/>
      <c r="GF289" s="8"/>
      <c r="GG289" s="8"/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/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/>
      <c r="HK289" s="8"/>
      <c r="HL289" s="8"/>
      <c r="HM289" s="8"/>
      <c r="HN289" s="8"/>
      <c r="HO289" s="8"/>
      <c r="HP289" s="8"/>
      <c r="HQ289" s="8"/>
      <c r="HR289" s="8"/>
      <c r="HS289" s="8"/>
      <c r="HT289" s="8"/>
      <c r="HU289" s="8"/>
      <c r="HV289" s="8"/>
      <c r="HW289" s="8"/>
      <c r="HX289" s="8"/>
      <c r="HY289" s="8"/>
      <c r="HZ289" s="8"/>
      <c r="IA289" s="8"/>
      <c r="IB289" s="8"/>
      <c r="IC289" s="8"/>
      <c r="ID289" s="8"/>
      <c r="IE289" s="8"/>
      <c r="IF289" s="8"/>
      <c r="IG289" s="8"/>
      <c r="IH289" s="8"/>
      <c r="II289" s="8"/>
      <c r="IJ289" s="8"/>
      <c r="IK289" s="8"/>
      <c r="IL289" s="8"/>
      <c r="IM289" s="8"/>
      <c r="IN289" s="8"/>
      <c r="IO289" s="8"/>
      <c r="IP289" s="8"/>
      <c r="IQ289" s="8"/>
      <c r="IR289" s="8"/>
      <c r="IS289" s="8"/>
      <c r="IT289" s="8"/>
      <c r="IU289" s="8"/>
      <c r="IV289" s="8"/>
      <c r="IW289" s="8"/>
      <c r="IX289" s="8"/>
      <c r="IY289" s="8"/>
      <c r="IZ289" s="8"/>
    </row>
    <row r="290" spans="1:260" ht="2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  <c r="GD290" s="8"/>
      <c r="GE290" s="8"/>
      <c r="GF290" s="8"/>
      <c r="GG290" s="8"/>
      <c r="GH290" s="8"/>
      <c r="GI290" s="8"/>
      <c r="GJ290" s="8"/>
      <c r="GK290" s="8"/>
      <c r="GL290" s="8"/>
      <c r="GM290" s="8"/>
      <c r="GN290" s="8"/>
      <c r="GO290" s="8"/>
      <c r="GP290" s="8"/>
      <c r="GQ290" s="8"/>
      <c r="GR290" s="8"/>
      <c r="GS290" s="8"/>
      <c r="GT290" s="8"/>
      <c r="GU290" s="8"/>
      <c r="GV290" s="8"/>
      <c r="GW290" s="8"/>
      <c r="GX290" s="8"/>
      <c r="GY290" s="8"/>
      <c r="GZ290" s="8"/>
      <c r="HA290" s="8"/>
      <c r="HB290" s="8"/>
      <c r="HC290" s="8"/>
      <c r="HD290" s="8"/>
      <c r="HE290" s="8"/>
      <c r="HF290" s="8"/>
      <c r="HG290" s="8"/>
      <c r="HH290" s="8"/>
      <c r="HI290" s="8"/>
      <c r="HJ290" s="8"/>
      <c r="HK290" s="8"/>
      <c r="HL290" s="8"/>
      <c r="HM290" s="8"/>
      <c r="HN290" s="8"/>
      <c r="HO290" s="8"/>
      <c r="HP290" s="8"/>
      <c r="HQ290" s="8"/>
      <c r="HR290" s="8"/>
      <c r="HS290" s="8"/>
      <c r="HT290" s="8"/>
      <c r="HU290" s="8"/>
      <c r="HV290" s="8"/>
      <c r="HW290" s="8"/>
      <c r="HX290" s="8"/>
      <c r="HY290" s="8"/>
      <c r="HZ290" s="8"/>
      <c r="IA290" s="8"/>
      <c r="IB290" s="8"/>
      <c r="IC290" s="8"/>
      <c r="ID290" s="8"/>
      <c r="IE290" s="8"/>
      <c r="IF290" s="8"/>
      <c r="IG290" s="8"/>
      <c r="IH290" s="8"/>
      <c r="II290" s="8"/>
      <c r="IJ290" s="8"/>
      <c r="IK290" s="8"/>
      <c r="IL290" s="8"/>
      <c r="IM290" s="8"/>
      <c r="IN290" s="8"/>
      <c r="IO290" s="8"/>
      <c r="IP290" s="8"/>
      <c r="IQ290" s="8"/>
      <c r="IR290" s="8"/>
      <c r="IS290" s="8"/>
      <c r="IT290" s="8"/>
      <c r="IU290" s="8"/>
      <c r="IV290" s="8"/>
      <c r="IW290" s="8"/>
      <c r="IX290" s="8"/>
      <c r="IY290" s="8"/>
      <c r="IZ290" s="8"/>
    </row>
    <row r="291" spans="1:260" ht="2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8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  <c r="HK291" s="8"/>
      <c r="HL291" s="8"/>
      <c r="HM291" s="8"/>
      <c r="HN291" s="8"/>
      <c r="HO291" s="8"/>
      <c r="HP291" s="8"/>
      <c r="HQ291" s="8"/>
      <c r="HR291" s="8"/>
      <c r="HS291" s="8"/>
      <c r="HT291" s="8"/>
      <c r="HU291" s="8"/>
      <c r="HV291" s="8"/>
      <c r="HW291" s="8"/>
      <c r="HX291" s="8"/>
      <c r="HY291" s="8"/>
      <c r="HZ291" s="8"/>
      <c r="IA291" s="8"/>
      <c r="IB291" s="8"/>
      <c r="IC291" s="8"/>
      <c r="ID291" s="8"/>
      <c r="IE291" s="8"/>
      <c r="IF291" s="8"/>
      <c r="IG291" s="8"/>
      <c r="IH291" s="8"/>
      <c r="II291" s="8"/>
      <c r="IJ291" s="8"/>
      <c r="IK291" s="8"/>
      <c r="IL291" s="8"/>
      <c r="IM291" s="8"/>
      <c r="IN291" s="8"/>
      <c r="IO291" s="8"/>
      <c r="IP291" s="8"/>
      <c r="IQ291" s="8"/>
      <c r="IR291" s="8"/>
      <c r="IS291" s="8"/>
      <c r="IT291" s="8"/>
      <c r="IU291" s="8"/>
      <c r="IV291" s="8"/>
      <c r="IW291" s="8"/>
      <c r="IX291" s="8"/>
      <c r="IY291" s="8"/>
      <c r="IZ291" s="8"/>
    </row>
    <row r="292" spans="1:260" ht="2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  <c r="GD292" s="8"/>
      <c r="GE292" s="8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  <c r="HK292" s="8"/>
      <c r="HL292" s="8"/>
      <c r="HM292" s="8"/>
      <c r="HN292" s="8"/>
      <c r="HO292" s="8"/>
      <c r="HP292" s="8"/>
      <c r="HQ292" s="8"/>
      <c r="HR292" s="8"/>
      <c r="HS292" s="8"/>
      <c r="HT292" s="8"/>
      <c r="HU292" s="8"/>
      <c r="HV292" s="8"/>
      <c r="HW292" s="8"/>
      <c r="HX292" s="8"/>
      <c r="HY292" s="8"/>
      <c r="HZ292" s="8"/>
      <c r="IA292" s="8"/>
      <c r="IB292" s="8"/>
      <c r="IC292" s="8"/>
      <c r="ID292" s="8"/>
      <c r="IE292" s="8"/>
      <c r="IF292" s="8"/>
      <c r="IG292" s="8"/>
      <c r="IH292" s="8"/>
      <c r="II292" s="8"/>
      <c r="IJ292" s="8"/>
      <c r="IK292" s="8"/>
      <c r="IL292" s="8"/>
      <c r="IM292" s="8"/>
      <c r="IN292" s="8"/>
      <c r="IO292" s="8"/>
      <c r="IP292" s="8"/>
      <c r="IQ292" s="8"/>
      <c r="IR292" s="8"/>
      <c r="IS292" s="8"/>
      <c r="IT292" s="8"/>
      <c r="IU292" s="8"/>
      <c r="IV292" s="8"/>
      <c r="IW292" s="8"/>
      <c r="IX292" s="8"/>
      <c r="IY292" s="8"/>
      <c r="IZ292" s="8"/>
    </row>
    <row r="293" spans="1:260" ht="2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  <c r="GC293" s="8"/>
      <c r="GD293" s="8"/>
      <c r="GE293" s="8"/>
      <c r="GF293" s="8"/>
      <c r="GG293" s="8"/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/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/>
      <c r="HK293" s="8"/>
      <c r="HL293" s="8"/>
      <c r="HM293" s="8"/>
      <c r="HN293" s="8"/>
      <c r="HO293" s="8"/>
      <c r="HP293" s="8"/>
      <c r="HQ293" s="8"/>
      <c r="HR293" s="8"/>
      <c r="HS293" s="8"/>
      <c r="HT293" s="8"/>
      <c r="HU293" s="8"/>
      <c r="HV293" s="8"/>
      <c r="HW293" s="8"/>
      <c r="HX293" s="8"/>
      <c r="HY293" s="8"/>
      <c r="HZ293" s="8"/>
      <c r="IA293" s="8"/>
      <c r="IB293" s="8"/>
      <c r="IC293" s="8"/>
      <c r="ID293" s="8"/>
      <c r="IE293" s="8"/>
      <c r="IF293" s="8"/>
      <c r="IG293" s="8"/>
      <c r="IH293" s="8"/>
      <c r="II293" s="8"/>
      <c r="IJ293" s="8"/>
      <c r="IK293" s="8"/>
      <c r="IL293" s="8"/>
      <c r="IM293" s="8"/>
      <c r="IN293" s="8"/>
      <c r="IO293" s="8"/>
      <c r="IP293" s="8"/>
      <c r="IQ293" s="8"/>
      <c r="IR293" s="8"/>
      <c r="IS293" s="8"/>
      <c r="IT293" s="8"/>
      <c r="IU293" s="8"/>
      <c r="IV293" s="8"/>
      <c r="IW293" s="8"/>
      <c r="IX293" s="8"/>
      <c r="IY293" s="8"/>
      <c r="IZ293" s="8"/>
    </row>
    <row r="294" spans="1:260" ht="2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  <c r="GC294" s="8"/>
      <c r="GD294" s="8"/>
      <c r="GE294" s="8"/>
      <c r="GF294" s="8"/>
      <c r="GG294" s="8"/>
      <c r="GH294" s="8"/>
      <c r="GI294" s="8"/>
      <c r="GJ294" s="8"/>
      <c r="GK294" s="8"/>
      <c r="GL294" s="8"/>
      <c r="GM294" s="8"/>
      <c r="GN294" s="8"/>
      <c r="GO294" s="8"/>
      <c r="GP294" s="8"/>
      <c r="GQ294" s="8"/>
      <c r="GR294" s="8"/>
      <c r="GS294" s="8"/>
      <c r="GT294" s="8"/>
      <c r="GU294" s="8"/>
      <c r="GV294" s="8"/>
      <c r="GW294" s="8"/>
      <c r="GX294" s="8"/>
      <c r="GY294" s="8"/>
      <c r="GZ294" s="8"/>
      <c r="HA294" s="8"/>
      <c r="HB294" s="8"/>
      <c r="HC294" s="8"/>
      <c r="HD294" s="8"/>
      <c r="HE294" s="8"/>
      <c r="HF294" s="8"/>
      <c r="HG294" s="8"/>
      <c r="HH294" s="8"/>
      <c r="HI294" s="8"/>
      <c r="HJ294" s="8"/>
      <c r="HK294" s="8"/>
      <c r="HL294" s="8"/>
      <c r="HM294" s="8"/>
      <c r="HN294" s="8"/>
      <c r="HO294" s="8"/>
      <c r="HP294" s="8"/>
      <c r="HQ294" s="8"/>
      <c r="HR294" s="8"/>
      <c r="HS294" s="8"/>
      <c r="HT294" s="8"/>
      <c r="HU294" s="8"/>
      <c r="HV294" s="8"/>
      <c r="HW294" s="8"/>
      <c r="HX294" s="8"/>
      <c r="HY294" s="8"/>
      <c r="HZ294" s="8"/>
      <c r="IA294" s="8"/>
      <c r="IB294" s="8"/>
      <c r="IC294" s="8"/>
      <c r="ID294" s="8"/>
      <c r="IE294" s="8"/>
      <c r="IF294" s="8"/>
      <c r="IG294" s="8"/>
      <c r="IH294" s="8"/>
      <c r="II294" s="8"/>
      <c r="IJ294" s="8"/>
      <c r="IK294" s="8"/>
      <c r="IL294" s="8"/>
      <c r="IM294" s="8"/>
      <c r="IN294" s="8"/>
      <c r="IO294" s="8"/>
      <c r="IP294" s="8"/>
      <c r="IQ294" s="8"/>
      <c r="IR294" s="8"/>
      <c r="IS294" s="8"/>
      <c r="IT294" s="8"/>
      <c r="IU294" s="8"/>
      <c r="IV294" s="8"/>
      <c r="IW294" s="8"/>
      <c r="IX294" s="8"/>
      <c r="IY294" s="8"/>
      <c r="IZ294" s="8"/>
    </row>
    <row r="295" spans="1:260" ht="2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  <c r="GA295" s="8"/>
      <c r="GB295" s="8"/>
      <c r="GC295" s="8"/>
      <c r="GD295" s="8"/>
      <c r="GE295" s="8"/>
      <c r="GF295" s="8"/>
      <c r="GG295" s="8"/>
      <c r="GH295" s="8"/>
      <c r="GI295" s="8"/>
      <c r="GJ295" s="8"/>
      <c r="GK295" s="8"/>
      <c r="GL295" s="8"/>
      <c r="GM295" s="8"/>
      <c r="GN295" s="8"/>
      <c r="GO295" s="8"/>
      <c r="GP295" s="8"/>
      <c r="GQ295" s="8"/>
      <c r="GR295" s="8"/>
      <c r="GS295" s="8"/>
      <c r="GT295" s="8"/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/>
      <c r="HK295" s="8"/>
      <c r="HL295" s="8"/>
      <c r="HM295" s="8"/>
      <c r="HN295" s="8"/>
      <c r="HO295" s="8"/>
      <c r="HP295" s="8"/>
      <c r="HQ295" s="8"/>
      <c r="HR295" s="8"/>
      <c r="HS295" s="8"/>
      <c r="HT295" s="8"/>
      <c r="HU295" s="8"/>
      <c r="HV295" s="8"/>
      <c r="HW295" s="8"/>
      <c r="HX295" s="8"/>
      <c r="HY295" s="8"/>
      <c r="HZ295" s="8"/>
      <c r="IA295" s="8"/>
      <c r="IB295" s="8"/>
      <c r="IC295" s="8"/>
      <c r="ID295" s="8"/>
      <c r="IE295" s="8"/>
      <c r="IF295" s="8"/>
      <c r="IG295" s="8"/>
      <c r="IH295" s="8"/>
      <c r="II295" s="8"/>
      <c r="IJ295" s="8"/>
      <c r="IK295" s="8"/>
      <c r="IL295" s="8"/>
      <c r="IM295" s="8"/>
      <c r="IN295" s="8"/>
      <c r="IO295" s="8"/>
      <c r="IP295" s="8"/>
      <c r="IQ295" s="8"/>
      <c r="IR295" s="8"/>
      <c r="IS295" s="8"/>
      <c r="IT295" s="8"/>
      <c r="IU295" s="8"/>
      <c r="IV295" s="8"/>
      <c r="IW295" s="8"/>
      <c r="IX295" s="8"/>
      <c r="IY295" s="8"/>
      <c r="IZ295" s="8"/>
    </row>
    <row r="296" spans="1:260" ht="2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8"/>
      <c r="GD296" s="8"/>
      <c r="GE296" s="8"/>
      <c r="GF296" s="8"/>
      <c r="GG296" s="8"/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/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8"/>
      <c r="HK296" s="8"/>
      <c r="HL296" s="8"/>
      <c r="HM296" s="8"/>
      <c r="HN296" s="8"/>
      <c r="HO296" s="8"/>
      <c r="HP296" s="8"/>
      <c r="HQ296" s="8"/>
      <c r="HR296" s="8"/>
      <c r="HS296" s="8"/>
      <c r="HT296" s="8"/>
      <c r="HU296" s="8"/>
      <c r="HV296" s="8"/>
      <c r="HW296" s="8"/>
      <c r="HX296" s="8"/>
      <c r="HY296" s="8"/>
      <c r="HZ296" s="8"/>
      <c r="IA296" s="8"/>
      <c r="IB296" s="8"/>
      <c r="IC296" s="8"/>
      <c r="ID296" s="8"/>
      <c r="IE296" s="8"/>
      <c r="IF296" s="8"/>
      <c r="IG296" s="8"/>
      <c r="IH296" s="8"/>
      <c r="II296" s="8"/>
      <c r="IJ296" s="8"/>
      <c r="IK296" s="8"/>
      <c r="IL296" s="8"/>
      <c r="IM296" s="8"/>
      <c r="IN296" s="8"/>
      <c r="IO296" s="8"/>
      <c r="IP296" s="8"/>
      <c r="IQ296" s="8"/>
      <c r="IR296" s="8"/>
      <c r="IS296" s="8"/>
      <c r="IT296" s="8"/>
      <c r="IU296" s="8"/>
      <c r="IV296" s="8"/>
      <c r="IW296" s="8"/>
      <c r="IX296" s="8"/>
      <c r="IY296" s="8"/>
      <c r="IZ296" s="8"/>
    </row>
    <row r="297" spans="1:260" ht="2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  <c r="GD297" s="8"/>
      <c r="GE297" s="8"/>
      <c r="GF297" s="8"/>
      <c r="GG297" s="8"/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/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8"/>
      <c r="HK297" s="8"/>
      <c r="HL297" s="8"/>
      <c r="HM297" s="8"/>
      <c r="HN297" s="8"/>
      <c r="HO297" s="8"/>
      <c r="HP297" s="8"/>
      <c r="HQ297" s="8"/>
      <c r="HR297" s="8"/>
      <c r="HS297" s="8"/>
      <c r="HT297" s="8"/>
      <c r="HU297" s="8"/>
      <c r="HV297" s="8"/>
      <c r="HW297" s="8"/>
      <c r="HX297" s="8"/>
      <c r="HY297" s="8"/>
      <c r="HZ297" s="8"/>
      <c r="IA297" s="8"/>
      <c r="IB297" s="8"/>
      <c r="IC297" s="8"/>
      <c r="ID297" s="8"/>
      <c r="IE297" s="8"/>
      <c r="IF297" s="8"/>
      <c r="IG297" s="8"/>
      <c r="IH297" s="8"/>
      <c r="II297" s="8"/>
      <c r="IJ297" s="8"/>
      <c r="IK297" s="8"/>
      <c r="IL297" s="8"/>
      <c r="IM297" s="8"/>
      <c r="IN297" s="8"/>
      <c r="IO297" s="8"/>
      <c r="IP297" s="8"/>
      <c r="IQ297" s="8"/>
      <c r="IR297" s="8"/>
      <c r="IS297" s="8"/>
      <c r="IT297" s="8"/>
      <c r="IU297" s="8"/>
      <c r="IV297" s="8"/>
      <c r="IW297" s="8"/>
      <c r="IX297" s="8"/>
      <c r="IY297" s="8"/>
      <c r="IZ297" s="8"/>
    </row>
    <row r="298" spans="1:260" ht="2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  <c r="GA298" s="8"/>
      <c r="GB298" s="8"/>
      <c r="GC298" s="8"/>
      <c r="GD298" s="8"/>
      <c r="GE298" s="8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  <c r="HK298" s="8"/>
      <c r="HL298" s="8"/>
      <c r="HM298" s="8"/>
      <c r="HN298" s="8"/>
      <c r="HO298" s="8"/>
      <c r="HP298" s="8"/>
      <c r="HQ298" s="8"/>
      <c r="HR298" s="8"/>
      <c r="HS298" s="8"/>
      <c r="HT298" s="8"/>
      <c r="HU298" s="8"/>
      <c r="HV298" s="8"/>
      <c r="HW298" s="8"/>
      <c r="HX298" s="8"/>
      <c r="HY298" s="8"/>
      <c r="HZ298" s="8"/>
      <c r="IA298" s="8"/>
      <c r="IB298" s="8"/>
      <c r="IC298" s="8"/>
      <c r="ID298" s="8"/>
      <c r="IE298" s="8"/>
      <c r="IF298" s="8"/>
      <c r="IG298" s="8"/>
      <c r="IH298" s="8"/>
      <c r="II298" s="8"/>
      <c r="IJ298" s="8"/>
      <c r="IK298" s="8"/>
      <c r="IL298" s="8"/>
      <c r="IM298" s="8"/>
      <c r="IN298" s="8"/>
      <c r="IO298" s="8"/>
      <c r="IP298" s="8"/>
      <c r="IQ298" s="8"/>
      <c r="IR298" s="8"/>
      <c r="IS298" s="8"/>
      <c r="IT298" s="8"/>
      <c r="IU298" s="8"/>
      <c r="IV298" s="8"/>
      <c r="IW298" s="8"/>
      <c r="IX298" s="8"/>
      <c r="IY298" s="8"/>
      <c r="IZ298" s="8"/>
    </row>
    <row r="299" spans="1:260" ht="2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  <c r="HK299" s="8"/>
      <c r="HL299" s="8"/>
      <c r="HM299" s="8"/>
      <c r="HN299" s="8"/>
      <c r="HO299" s="8"/>
      <c r="HP299" s="8"/>
      <c r="HQ299" s="8"/>
      <c r="HR299" s="8"/>
      <c r="HS299" s="8"/>
      <c r="HT299" s="8"/>
      <c r="HU299" s="8"/>
      <c r="HV299" s="8"/>
      <c r="HW299" s="8"/>
      <c r="HX299" s="8"/>
      <c r="HY299" s="8"/>
      <c r="HZ299" s="8"/>
      <c r="IA299" s="8"/>
      <c r="IB299" s="8"/>
      <c r="IC299" s="8"/>
      <c r="ID299" s="8"/>
      <c r="IE299" s="8"/>
      <c r="IF299" s="8"/>
      <c r="IG299" s="8"/>
      <c r="IH299" s="8"/>
      <c r="II299" s="8"/>
      <c r="IJ299" s="8"/>
      <c r="IK299" s="8"/>
      <c r="IL299" s="8"/>
      <c r="IM299" s="8"/>
      <c r="IN299" s="8"/>
      <c r="IO299" s="8"/>
      <c r="IP299" s="8"/>
      <c r="IQ299" s="8"/>
      <c r="IR299" s="8"/>
      <c r="IS299" s="8"/>
      <c r="IT299" s="8"/>
      <c r="IU299" s="8"/>
      <c r="IV299" s="8"/>
      <c r="IW299" s="8"/>
      <c r="IX299" s="8"/>
      <c r="IY299" s="8"/>
      <c r="IZ299" s="8"/>
    </row>
    <row r="300" spans="1:260" ht="2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  <c r="GD300" s="8"/>
      <c r="GE300" s="8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  <c r="HK300" s="8"/>
      <c r="HL300" s="8"/>
      <c r="HM300" s="8"/>
      <c r="HN300" s="8"/>
      <c r="HO300" s="8"/>
      <c r="HP300" s="8"/>
      <c r="HQ300" s="8"/>
      <c r="HR300" s="8"/>
      <c r="HS300" s="8"/>
      <c r="HT300" s="8"/>
      <c r="HU300" s="8"/>
      <c r="HV300" s="8"/>
      <c r="HW300" s="8"/>
      <c r="HX300" s="8"/>
      <c r="HY300" s="8"/>
      <c r="HZ300" s="8"/>
      <c r="IA300" s="8"/>
      <c r="IB300" s="8"/>
      <c r="IC300" s="8"/>
      <c r="ID300" s="8"/>
      <c r="IE300" s="8"/>
      <c r="IF300" s="8"/>
      <c r="IG300" s="8"/>
      <c r="IH300" s="8"/>
      <c r="II300" s="8"/>
      <c r="IJ300" s="8"/>
      <c r="IK300" s="8"/>
      <c r="IL300" s="8"/>
      <c r="IM300" s="8"/>
      <c r="IN300" s="8"/>
      <c r="IO300" s="8"/>
      <c r="IP300" s="8"/>
      <c r="IQ300" s="8"/>
      <c r="IR300" s="8"/>
      <c r="IS300" s="8"/>
      <c r="IT300" s="8"/>
      <c r="IU300" s="8"/>
      <c r="IV300" s="8"/>
      <c r="IW300" s="8"/>
      <c r="IX300" s="8"/>
      <c r="IY300" s="8"/>
      <c r="IZ300" s="8"/>
    </row>
    <row r="301" spans="1:260" ht="2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  <c r="GD301" s="8"/>
      <c r="GE301" s="8"/>
      <c r="GF301" s="8"/>
      <c r="GG301" s="8"/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/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/>
      <c r="HK301" s="8"/>
      <c r="HL301" s="8"/>
      <c r="HM301" s="8"/>
      <c r="HN301" s="8"/>
      <c r="HO301" s="8"/>
      <c r="HP301" s="8"/>
      <c r="HQ301" s="8"/>
      <c r="HR301" s="8"/>
      <c r="HS301" s="8"/>
      <c r="HT301" s="8"/>
      <c r="HU301" s="8"/>
      <c r="HV301" s="8"/>
      <c r="HW301" s="8"/>
      <c r="HX301" s="8"/>
      <c r="HY301" s="8"/>
      <c r="HZ301" s="8"/>
      <c r="IA301" s="8"/>
      <c r="IB301" s="8"/>
      <c r="IC301" s="8"/>
      <c r="ID301" s="8"/>
      <c r="IE301" s="8"/>
      <c r="IF301" s="8"/>
      <c r="IG301" s="8"/>
      <c r="IH301" s="8"/>
      <c r="II301" s="8"/>
      <c r="IJ301" s="8"/>
      <c r="IK301" s="8"/>
      <c r="IL301" s="8"/>
      <c r="IM301" s="8"/>
      <c r="IN301" s="8"/>
      <c r="IO301" s="8"/>
      <c r="IP301" s="8"/>
      <c r="IQ301" s="8"/>
      <c r="IR301" s="8"/>
      <c r="IS301" s="8"/>
      <c r="IT301" s="8"/>
      <c r="IU301" s="8"/>
      <c r="IV301" s="8"/>
      <c r="IW301" s="8"/>
      <c r="IX301" s="8"/>
      <c r="IY301" s="8"/>
      <c r="IZ301" s="8"/>
    </row>
    <row r="302" spans="1:260" ht="2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  <c r="HK302" s="8"/>
      <c r="HL302" s="8"/>
      <c r="HM302" s="8"/>
      <c r="HN302" s="8"/>
      <c r="HO302" s="8"/>
      <c r="HP302" s="8"/>
      <c r="HQ302" s="8"/>
      <c r="HR302" s="8"/>
      <c r="HS302" s="8"/>
      <c r="HT302" s="8"/>
      <c r="HU302" s="8"/>
      <c r="HV302" s="8"/>
      <c r="HW302" s="8"/>
      <c r="HX302" s="8"/>
      <c r="HY302" s="8"/>
      <c r="HZ302" s="8"/>
      <c r="IA302" s="8"/>
      <c r="IB302" s="8"/>
      <c r="IC302" s="8"/>
      <c r="ID302" s="8"/>
      <c r="IE302" s="8"/>
      <c r="IF302" s="8"/>
      <c r="IG302" s="8"/>
      <c r="IH302" s="8"/>
      <c r="II302" s="8"/>
      <c r="IJ302" s="8"/>
      <c r="IK302" s="8"/>
      <c r="IL302" s="8"/>
      <c r="IM302" s="8"/>
      <c r="IN302" s="8"/>
      <c r="IO302" s="8"/>
      <c r="IP302" s="8"/>
      <c r="IQ302" s="8"/>
      <c r="IR302" s="8"/>
      <c r="IS302" s="8"/>
      <c r="IT302" s="8"/>
      <c r="IU302" s="8"/>
      <c r="IV302" s="8"/>
      <c r="IW302" s="8"/>
      <c r="IX302" s="8"/>
      <c r="IY302" s="8"/>
      <c r="IZ302" s="8"/>
    </row>
    <row r="303" spans="1:260" ht="2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8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  <c r="HK303" s="8"/>
      <c r="HL303" s="8"/>
      <c r="HM303" s="8"/>
      <c r="HN303" s="8"/>
      <c r="HO303" s="8"/>
      <c r="HP303" s="8"/>
      <c r="HQ303" s="8"/>
      <c r="HR303" s="8"/>
      <c r="HS303" s="8"/>
      <c r="HT303" s="8"/>
      <c r="HU303" s="8"/>
      <c r="HV303" s="8"/>
      <c r="HW303" s="8"/>
      <c r="HX303" s="8"/>
      <c r="HY303" s="8"/>
      <c r="HZ303" s="8"/>
      <c r="IA303" s="8"/>
      <c r="IB303" s="8"/>
      <c r="IC303" s="8"/>
      <c r="ID303" s="8"/>
      <c r="IE303" s="8"/>
      <c r="IF303" s="8"/>
      <c r="IG303" s="8"/>
      <c r="IH303" s="8"/>
      <c r="II303" s="8"/>
      <c r="IJ303" s="8"/>
      <c r="IK303" s="8"/>
      <c r="IL303" s="8"/>
      <c r="IM303" s="8"/>
      <c r="IN303" s="8"/>
      <c r="IO303" s="8"/>
      <c r="IP303" s="8"/>
      <c r="IQ303" s="8"/>
      <c r="IR303" s="8"/>
      <c r="IS303" s="8"/>
      <c r="IT303" s="8"/>
      <c r="IU303" s="8"/>
      <c r="IV303" s="8"/>
      <c r="IW303" s="8"/>
      <c r="IX303" s="8"/>
      <c r="IY303" s="8"/>
      <c r="IZ303" s="8"/>
    </row>
    <row r="304" spans="1:260" ht="2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8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  <c r="HK304" s="8"/>
      <c r="HL304" s="8"/>
      <c r="HM304" s="8"/>
      <c r="HN304" s="8"/>
      <c r="HO304" s="8"/>
      <c r="HP304" s="8"/>
      <c r="HQ304" s="8"/>
      <c r="HR304" s="8"/>
      <c r="HS304" s="8"/>
      <c r="HT304" s="8"/>
      <c r="HU304" s="8"/>
      <c r="HV304" s="8"/>
      <c r="HW304" s="8"/>
      <c r="HX304" s="8"/>
      <c r="HY304" s="8"/>
      <c r="HZ304" s="8"/>
      <c r="IA304" s="8"/>
      <c r="IB304" s="8"/>
      <c r="IC304" s="8"/>
      <c r="ID304" s="8"/>
      <c r="IE304" s="8"/>
      <c r="IF304" s="8"/>
      <c r="IG304" s="8"/>
      <c r="IH304" s="8"/>
      <c r="II304" s="8"/>
      <c r="IJ304" s="8"/>
      <c r="IK304" s="8"/>
      <c r="IL304" s="8"/>
      <c r="IM304" s="8"/>
      <c r="IN304" s="8"/>
      <c r="IO304" s="8"/>
      <c r="IP304" s="8"/>
      <c r="IQ304" s="8"/>
      <c r="IR304" s="8"/>
      <c r="IS304" s="8"/>
      <c r="IT304" s="8"/>
      <c r="IU304" s="8"/>
      <c r="IV304" s="8"/>
      <c r="IW304" s="8"/>
      <c r="IX304" s="8"/>
      <c r="IY304" s="8"/>
      <c r="IZ304" s="8"/>
    </row>
    <row r="305" spans="1:260" ht="2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  <c r="HK305" s="8"/>
      <c r="HL305" s="8"/>
      <c r="HM305" s="8"/>
      <c r="HN305" s="8"/>
      <c r="HO305" s="8"/>
      <c r="HP305" s="8"/>
      <c r="HQ305" s="8"/>
      <c r="HR305" s="8"/>
      <c r="HS305" s="8"/>
      <c r="HT305" s="8"/>
      <c r="HU305" s="8"/>
      <c r="HV305" s="8"/>
      <c r="HW305" s="8"/>
      <c r="HX305" s="8"/>
      <c r="HY305" s="8"/>
      <c r="HZ305" s="8"/>
      <c r="IA305" s="8"/>
      <c r="IB305" s="8"/>
      <c r="IC305" s="8"/>
      <c r="ID305" s="8"/>
      <c r="IE305" s="8"/>
      <c r="IF305" s="8"/>
      <c r="IG305" s="8"/>
      <c r="IH305" s="8"/>
      <c r="II305" s="8"/>
      <c r="IJ305" s="8"/>
      <c r="IK305" s="8"/>
      <c r="IL305" s="8"/>
      <c r="IM305" s="8"/>
      <c r="IN305" s="8"/>
      <c r="IO305" s="8"/>
      <c r="IP305" s="8"/>
      <c r="IQ305" s="8"/>
      <c r="IR305" s="8"/>
      <c r="IS305" s="8"/>
      <c r="IT305" s="8"/>
      <c r="IU305" s="8"/>
      <c r="IV305" s="8"/>
      <c r="IW305" s="8"/>
      <c r="IX305" s="8"/>
      <c r="IY305" s="8"/>
      <c r="IZ305" s="8"/>
    </row>
    <row r="306" spans="1:260" ht="2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  <c r="HK306" s="8"/>
      <c r="HL306" s="8"/>
      <c r="HM306" s="8"/>
      <c r="HN306" s="8"/>
      <c r="HO306" s="8"/>
      <c r="HP306" s="8"/>
      <c r="HQ306" s="8"/>
      <c r="HR306" s="8"/>
      <c r="HS306" s="8"/>
      <c r="HT306" s="8"/>
      <c r="HU306" s="8"/>
      <c r="HV306" s="8"/>
      <c r="HW306" s="8"/>
      <c r="HX306" s="8"/>
      <c r="HY306" s="8"/>
      <c r="HZ306" s="8"/>
      <c r="IA306" s="8"/>
      <c r="IB306" s="8"/>
      <c r="IC306" s="8"/>
      <c r="ID306" s="8"/>
      <c r="IE306" s="8"/>
      <c r="IF306" s="8"/>
      <c r="IG306" s="8"/>
      <c r="IH306" s="8"/>
      <c r="II306" s="8"/>
      <c r="IJ306" s="8"/>
      <c r="IK306" s="8"/>
      <c r="IL306" s="8"/>
      <c r="IM306" s="8"/>
      <c r="IN306" s="8"/>
      <c r="IO306" s="8"/>
      <c r="IP306" s="8"/>
      <c r="IQ306" s="8"/>
      <c r="IR306" s="8"/>
      <c r="IS306" s="8"/>
      <c r="IT306" s="8"/>
      <c r="IU306" s="8"/>
      <c r="IV306" s="8"/>
      <c r="IW306" s="8"/>
      <c r="IX306" s="8"/>
      <c r="IY306" s="8"/>
      <c r="IZ306" s="8"/>
    </row>
    <row r="307" spans="1:260" ht="2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8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  <c r="HK307" s="8"/>
      <c r="HL307" s="8"/>
      <c r="HM307" s="8"/>
      <c r="HN307" s="8"/>
      <c r="HO307" s="8"/>
      <c r="HP307" s="8"/>
      <c r="HQ307" s="8"/>
      <c r="HR307" s="8"/>
      <c r="HS307" s="8"/>
      <c r="HT307" s="8"/>
      <c r="HU307" s="8"/>
      <c r="HV307" s="8"/>
      <c r="HW307" s="8"/>
      <c r="HX307" s="8"/>
      <c r="HY307" s="8"/>
      <c r="HZ307" s="8"/>
      <c r="IA307" s="8"/>
      <c r="IB307" s="8"/>
      <c r="IC307" s="8"/>
      <c r="ID307" s="8"/>
      <c r="IE307" s="8"/>
      <c r="IF307" s="8"/>
      <c r="IG307" s="8"/>
      <c r="IH307" s="8"/>
      <c r="II307" s="8"/>
      <c r="IJ307" s="8"/>
      <c r="IK307" s="8"/>
      <c r="IL307" s="8"/>
      <c r="IM307" s="8"/>
      <c r="IN307" s="8"/>
      <c r="IO307" s="8"/>
      <c r="IP307" s="8"/>
      <c r="IQ307" s="8"/>
      <c r="IR307" s="8"/>
      <c r="IS307" s="8"/>
      <c r="IT307" s="8"/>
      <c r="IU307" s="8"/>
      <c r="IV307" s="8"/>
      <c r="IW307" s="8"/>
      <c r="IX307" s="8"/>
      <c r="IY307" s="8"/>
      <c r="IZ307" s="8"/>
    </row>
    <row r="308" spans="1:260" ht="2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8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  <c r="HK308" s="8"/>
      <c r="HL308" s="8"/>
      <c r="HM308" s="8"/>
      <c r="HN308" s="8"/>
      <c r="HO308" s="8"/>
      <c r="HP308" s="8"/>
      <c r="HQ308" s="8"/>
      <c r="HR308" s="8"/>
      <c r="HS308" s="8"/>
      <c r="HT308" s="8"/>
      <c r="HU308" s="8"/>
      <c r="HV308" s="8"/>
      <c r="HW308" s="8"/>
      <c r="HX308" s="8"/>
      <c r="HY308" s="8"/>
      <c r="HZ308" s="8"/>
      <c r="IA308" s="8"/>
      <c r="IB308" s="8"/>
      <c r="IC308" s="8"/>
      <c r="ID308" s="8"/>
      <c r="IE308" s="8"/>
      <c r="IF308" s="8"/>
      <c r="IG308" s="8"/>
      <c r="IH308" s="8"/>
      <c r="II308" s="8"/>
      <c r="IJ308" s="8"/>
      <c r="IK308" s="8"/>
      <c r="IL308" s="8"/>
      <c r="IM308" s="8"/>
      <c r="IN308" s="8"/>
      <c r="IO308" s="8"/>
      <c r="IP308" s="8"/>
      <c r="IQ308" s="8"/>
      <c r="IR308" s="8"/>
      <c r="IS308" s="8"/>
      <c r="IT308" s="8"/>
      <c r="IU308" s="8"/>
      <c r="IV308" s="8"/>
      <c r="IW308" s="8"/>
      <c r="IX308" s="8"/>
      <c r="IY308" s="8"/>
      <c r="IZ308" s="8"/>
    </row>
    <row r="309" spans="1:260" ht="2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  <c r="GD309" s="8"/>
      <c r="GE309" s="8"/>
      <c r="GF309" s="8"/>
      <c r="GG309" s="8"/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8"/>
      <c r="GU309" s="8"/>
      <c r="GV309" s="8"/>
      <c r="GW309" s="8"/>
      <c r="GX309" s="8"/>
      <c r="GY309" s="8"/>
      <c r="GZ309" s="8"/>
      <c r="HA309" s="8"/>
      <c r="HB309" s="8"/>
      <c r="HC309" s="8"/>
      <c r="HD309" s="8"/>
      <c r="HE309" s="8"/>
      <c r="HF309" s="8"/>
      <c r="HG309" s="8"/>
      <c r="HH309" s="8"/>
      <c r="HI309" s="8"/>
      <c r="HJ309" s="8"/>
      <c r="HK309" s="8"/>
      <c r="HL309" s="8"/>
      <c r="HM309" s="8"/>
      <c r="HN309" s="8"/>
      <c r="HO309" s="8"/>
      <c r="HP309" s="8"/>
      <c r="HQ309" s="8"/>
      <c r="HR309" s="8"/>
      <c r="HS309" s="8"/>
      <c r="HT309" s="8"/>
      <c r="HU309" s="8"/>
      <c r="HV309" s="8"/>
      <c r="HW309" s="8"/>
      <c r="HX309" s="8"/>
      <c r="HY309" s="8"/>
      <c r="HZ309" s="8"/>
      <c r="IA309" s="8"/>
      <c r="IB309" s="8"/>
      <c r="IC309" s="8"/>
      <c r="ID309" s="8"/>
      <c r="IE309" s="8"/>
      <c r="IF309" s="8"/>
      <c r="IG309" s="8"/>
      <c r="IH309" s="8"/>
      <c r="II309" s="8"/>
      <c r="IJ309" s="8"/>
      <c r="IK309" s="8"/>
      <c r="IL309" s="8"/>
      <c r="IM309" s="8"/>
      <c r="IN309" s="8"/>
      <c r="IO309" s="8"/>
      <c r="IP309" s="8"/>
      <c r="IQ309" s="8"/>
      <c r="IR309" s="8"/>
      <c r="IS309" s="8"/>
      <c r="IT309" s="8"/>
      <c r="IU309" s="8"/>
      <c r="IV309" s="8"/>
      <c r="IW309" s="8"/>
      <c r="IX309" s="8"/>
      <c r="IY309" s="8"/>
      <c r="IZ309" s="8"/>
    </row>
    <row r="310" spans="1:260" ht="2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  <c r="GD310" s="8"/>
      <c r="GE310" s="8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  <c r="HK310" s="8"/>
      <c r="HL310" s="8"/>
      <c r="HM310" s="8"/>
      <c r="HN310" s="8"/>
      <c r="HO310" s="8"/>
      <c r="HP310" s="8"/>
      <c r="HQ310" s="8"/>
      <c r="HR310" s="8"/>
      <c r="HS310" s="8"/>
      <c r="HT310" s="8"/>
      <c r="HU310" s="8"/>
      <c r="HV310" s="8"/>
      <c r="HW310" s="8"/>
      <c r="HX310" s="8"/>
      <c r="HY310" s="8"/>
      <c r="HZ310" s="8"/>
      <c r="IA310" s="8"/>
      <c r="IB310" s="8"/>
      <c r="IC310" s="8"/>
      <c r="ID310" s="8"/>
      <c r="IE310" s="8"/>
      <c r="IF310" s="8"/>
      <c r="IG310" s="8"/>
      <c r="IH310" s="8"/>
      <c r="II310" s="8"/>
      <c r="IJ310" s="8"/>
      <c r="IK310" s="8"/>
      <c r="IL310" s="8"/>
      <c r="IM310" s="8"/>
      <c r="IN310" s="8"/>
      <c r="IO310" s="8"/>
      <c r="IP310" s="8"/>
      <c r="IQ310" s="8"/>
      <c r="IR310" s="8"/>
      <c r="IS310" s="8"/>
      <c r="IT310" s="8"/>
      <c r="IU310" s="8"/>
      <c r="IV310" s="8"/>
      <c r="IW310" s="8"/>
      <c r="IX310" s="8"/>
      <c r="IY310" s="8"/>
      <c r="IZ310" s="8"/>
    </row>
    <row r="311" spans="1:260" ht="2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  <c r="GD311" s="8"/>
      <c r="GE311" s="8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  <c r="HK311" s="8"/>
      <c r="HL311" s="8"/>
      <c r="HM311" s="8"/>
      <c r="HN311" s="8"/>
      <c r="HO311" s="8"/>
      <c r="HP311" s="8"/>
      <c r="HQ311" s="8"/>
      <c r="HR311" s="8"/>
      <c r="HS311" s="8"/>
      <c r="HT311" s="8"/>
      <c r="HU311" s="8"/>
      <c r="HV311" s="8"/>
      <c r="HW311" s="8"/>
      <c r="HX311" s="8"/>
      <c r="HY311" s="8"/>
      <c r="HZ311" s="8"/>
      <c r="IA311" s="8"/>
      <c r="IB311" s="8"/>
      <c r="IC311" s="8"/>
      <c r="ID311" s="8"/>
      <c r="IE311" s="8"/>
      <c r="IF311" s="8"/>
      <c r="IG311" s="8"/>
      <c r="IH311" s="8"/>
      <c r="II311" s="8"/>
      <c r="IJ311" s="8"/>
      <c r="IK311" s="8"/>
      <c r="IL311" s="8"/>
      <c r="IM311" s="8"/>
      <c r="IN311" s="8"/>
      <c r="IO311" s="8"/>
      <c r="IP311" s="8"/>
      <c r="IQ311" s="8"/>
      <c r="IR311" s="8"/>
      <c r="IS311" s="8"/>
      <c r="IT311" s="8"/>
      <c r="IU311" s="8"/>
      <c r="IV311" s="8"/>
      <c r="IW311" s="8"/>
      <c r="IX311" s="8"/>
      <c r="IY311" s="8"/>
      <c r="IZ311" s="8"/>
    </row>
    <row r="312" spans="1:260" ht="2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8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  <c r="HK312" s="8"/>
      <c r="HL312" s="8"/>
      <c r="HM312" s="8"/>
      <c r="HN312" s="8"/>
      <c r="HO312" s="8"/>
      <c r="HP312" s="8"/>
      <c r="HQ312" s="8"/>
      <c r="HR312" s="8"/>
      <c r="HS312" s="8"/>
      <c r="HT312" s="8"/>
      <c r="HU312" s="8"/>
      <c r="HV312" s="8"/>
      <c r="HW312" s="8"/>
      <c r="HX312" s="8"/>
      <c r="HY312" s="8"/>
      <c r="HZ312" s="8"/>
      <c r="IA312" s="8"/>
      <c r="IB312" s="8"/>
      <c r="IC312" s="8"/>
      <c r="ID312" s="8"/>
      <c r="IE312" s="8"/>
      <c r="IF312" s="8"/>
      <c r="IG312" s="8"/>
      <c r="IH312" s="8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S312" s="8"/>
      <c r="IT312" s="8"/>
      <c r="IU312" s="8"/>
      <c r="IV312" s="8"/>
      <c r="IW312" s="8"/>
      <c r="IX312" s="8"/>
      <c r="IY312" s="8"/>
      <c r="IZ312" s="8"/>
    </row>
    <row r="313" spans="1:260" ht="2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  <c r="GD313" s="8"/>
      <c r="GE313" s="8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  <c r="HK313" s="8"/>
      <c r="HL313" s="8"/>
      <c r="HM313" s="8"/>
      <c r="HN313" s="8"/>
      <c r="HO313" s="8"/>
      <c r="HP313" s="8"/>
      <c r="HQ313" s="8"/>
      <c r="HR313" s="8"/>
      <c r="HS313" s="8"/>
      <c r="HT313" s="8"/>
      <c r="HU313" s="8"/>
      <c r="HV313" s="8"/>
      <c r="HW313" s="8"/>
      <c r="HX313" s="8"/>
      <c r="HY313" s="8"/>
      <c r="HZ313" s="8"/>
      <c r="IA313" s="8"/>
      <c r="IB313" s="8"/>
      <c r="IC313" s="8"/>
      <c r="ID313" s="8"/>
      <c r="IE313" s="8"/>
      <c r="IF313" s="8"/>
      <c r="IG313" s="8"/>
      <c r="IH313" s="8"/>
      <c r="II313" s="8"/>
      <c r="IJ313" s="8"/>
      <c r="IK313" s="8"/>
      <c r="IL313" s="8"/>
      <c r="IM313" s="8"/>
      <c r="IN313" s="8"/>
      <c r="IO313" s="8"/>
      <c r="IP313" s="8"/>
      <c r="IQ313" s="8"/>
      <c r="IR313" s="8"/>
      <c r="IS313" s="8"/>
      <c r="IT313" s="8"/>
      <c r="IU313" s="8"/>
      <c r="IV313" s="8"/>
      <c r="IW313" s="8"/>
      <c r="IX313" s="8"/>
      <c r="IY313" s="8"/>
      <c r="IZ313" s="8"/>
    </row>
    <row r="314" spans="1:260" ht="2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8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  <c r="HK314" s="8"/>
      <c r="HL314" s="8"/>
      <c r="HM314" s="8"/>
      <c r="HN314" s="8"/>
      <c r="HO314" s="8"/>
      <c r="HP314" s="8"/>
      <c r="HQ314" s="8"/>
      <c r="HR314" s="8"/>
      <c r="HS314" s="8"/>
      <c r="HT314" s="8"/>
      <c r="HU314" s="8"/>
      <c r="HV314" s="8"/>
      <c r="HW314" s="8"/>
      <c r="HX314" s="8"/>
      <c r="HY314" s="8"/>
      <c r="HZ314" s="8"/>
      <c r="IA314" s="8"/>
      <c r="IB314" s="8"/>
      <c r="IC314" s="8"/>
      <c r="ID314" s="8"/>
      <c r="IE314" s="8"/>
      <c r="IF314" s="8"/>
      <c r="IG314" s="8"/>
      <c r="IH314" s="8"/>
      <c r="II314" s="8"/>
      <c r="IJ314" s="8"/>
      <c r="IK314" s="8"/>
      <c r="IL314" s="8"/>
      <c r="IM314" s="8"/>
      <c r="IN314" s="8"/>
      <c r="IO314" s="8"/>
      <c r="IP314" s="8"/>
      <c r="IQ314" s="8"/>
      <c r="IR314" s="8"/>
      <c r="IS314" s="8"/>
      <c r="IT314" s="8"/>
      <c r="IU314" s="8"/>
      <c r="IV314" s="8"/>
      <c r="IW314" s="8"/>
      <c r="IX314" s="8"/>
      <c r="IY314" s="8"/>
      <c r="IZ314" s="8"/>
    </row>
    <row r="315" spans="1:260" ht="2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8"/>
      <c r="GD315" s="8"/>
      <c r="GE315" s="8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  <c r="HK315" s="8"/>
      <c r="HL315" s="8"/>
      <c r="HM315" s="8"/>
      <c r="HN315" s="8"/>
      <c r="HO315" s="8"/>
      <c r="HP315" s="8"/>
      <c r="HQ315" s="8"/>
      <c r="HR315" s="8"/>
      <c r="HS315" s="8"/>
      <c r="HT315" s="8"/>
      <c r="HU315" s="8"/>
      <c r="HV315" s="8"/>
      <c r="HW315" s="8"/>
      <c r="HX315" s="8"/>
      <c r="HY315" s="8"/>
      <c r="HZ315" s="8"/>
      <c r="IA315" s="8"/>
      <c r="IB315" s="8"/>
      <c r="IC315" s="8"/>
      <c r="ID315" s="8"/>
      <c r="IE315" s="8"/>
      <c r="IF315" s="8"/>
      <c r="IG315" s="8"/>
      <c r="IH315" s="8"/>
      <c r="II315" s="8"/>
      <c r="IJ315" s="8"/>
      <c r="IK315" s="8"/>
      <c r="IL315" s="8"/>
      <c r="IM315" s="8"/>
      <c r="IN315" s="8"/>
      <c r="IO315" s="8"/>
      <c r="IP315" s="8"/>
      <c r="IQ315" s="8"/>
      <c r="IR315" s="8"/>
      <c r="IS315" s="8"/>
      <c r="IT315" s="8"/>
      <c r="IU315" s="8"/>
      <c r="IV315" s="8"/>
      <c r="IW315" s="8"/>
      <c r="IX315" s="8"/>
      <c r="IY315" s="8"/>
      <c r="IZ315" s="8"/>
    </row>
    <row r="316" spans="1:260" ht="2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  <c r="GD316" s="8"/>
      <c r="GE316" s="8"/>
      <c r="GF316" s="8"/>
      <c r="GG316" s="8"/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8"/>
      <c r="GU316" s="8"/>
      <c r="GV316" s="8"/>
      <c r="GW316" s="8"/>
      <c r="GX316" s="8"/>
      <c r="GY316" s="8"/>
      <c r="GZ316" s="8"/>
      <c r="HA316" s="8"/>
      <c r="HB316" s="8"/>
      <c r="HC316" s="8"/>
      <c r="HD316" s="8"/>
      <c r="HE316" s="8"/>
      <c r="HF316" s="8"/>
      <c r="HG316" s="8"/>
      <c r="HH316" s="8"/>
      <c r="HI316" s="8"/>
      <c r="HJ316" s="8"/>
      <c r="HK316" s="8"/>
      <c r="HL316" s="8"/>
      <c r="HM316" s="8"/>
      <c r="HN316" s="8"/>
      <c r="HO316" s="8"/>
      <c r="HP316" s="8"/>
      <c r="HQ316" s="8"/>
      <c r="HR316" s="8"/>
      <c r="HS316" s="8"/>
      <c r="HT316" s="8"/>
      <c r="HU316" s="8"/>
      <c r="HV316" s="8"/>
      <c r="HW316" s="8"/>
      <c r="HX316" s="8"/>
      <c r="HY316" s="8"/>
      <c r="HZ316" s="8"/>
      <c r="IA316" s="8"/>
      <c r="IB316" s="8"/>
      <c r="IC316" s="8"/>
      <c r="ID316" s="8"/>
      <c r="IE316" s="8"/>
      <c r="IF316" s="8"/>
      <c r="IG316" s="8"/>
      <c r="IH316" s="8"/>
      <c r="II316" s="8"/>
      <c r="IJ316" s="8"/>
      <c r="IK316" s="8"/>
      <c r="IL316" s="8"/>
      <c r="IM316" s="8"/>
      <c r="IN316" s="8"/>
      <c r="IO316" s="8"/>
      <c r="IP316" s="8"/>
      <c r="IQ316" s="8"/>
      <c r="IR316" s="8"/>
      <c r="IS316" s="8"/>
      <c r="IT316" s="8"/>
      <c r="IU316" s="8"/>
      <c r="IV316" s="8"/>
      <c r="IW316" s="8"/>
      <c r="IX316" s="8"/>
      <c r="IY316" s="8"/>
      <c r="IZ316" s="8"/>
    </row>
    <row r="317" spans="1:260" ht="2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  <c r="GD317" s="8"/>
      <c r="GE317" s="8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  <c r="HK317" s="8"/>
      <c r="HL317" s="8"/>
      <c r="HM317" s="8"/>
      <c r="HN317" s="8"/>
      <c r="HO317" s="8"/>
      <c r="HP317" s="8"/>
      <c r="HQ317" s="8"/>
      <c r="HR317" s="8"/>
      <c r="HS317" s="8"/>
      <c r="HT317" s="8"/>
      <c r="HU317" s="8"/>
      <c r="HV317" s="8"/>
      <c r="HW317" s="8"/>
      <c r="HX317" s="8"/>
      <c r="HY317" s="8"/>
      <c r="HZ317" s="8"/>
      <c r="IA317" s="8"/>
      <c r="IB317" s="8"/>
      <c r="IC317" s="8"/>
      <c r="ID317" s="8"/>
      <c r="IE317" s="8"/>
      <c r="IF317" s="8"/>
      <c r="IG317" s="8"/>
      <c r="IH317" s="8"/>
      <c r="II317" s="8"/>
      <c r="IJ317" s="8"/>
      <c r="IK317" s="8"/>
      <c r="IL317" s="8"/>
      <c r="IM317" s="8"/>
      <c r="IN317" s="8"/>
      <c r="IO317" s="8"/>
      <c r="IP317" s="8"/>
      <c r="IQ317" s="8"/>
      <c r="IR317" s="8"/>
      <c r="IS317" s="8"/>
      <c r="IT317" s="8"/>
      <c r="IU317" s="8"/>
      <c r="IV317" s="8"/>
      <c r="IW317" s="8"/>
      <c r="IX317" s="8"/>
      <c r="IY317" s="8"/>
      <c r="IZ317" s="8"/>
    </row>
    <row r="318" spans="1:260" ht="2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  <c r="GC318" s="8"/>
      <c r="GD318" s="8"/>
      <c r="GE318" s="8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  <c r="HK318" s="8"/>
      <c r="HL318" s="8"/>
      <c r="HM318" s="8"/>
      <c r="HN318" s="8"/>
      <c r="HO318" s="8"/>
      <c r="HP318" s="8"/>
      <c r="HQ318" s="8"/>
      <c r="HR318" s="8"/>
      <c r="HS318" s="8"/>
      <c r="HT318" s="8"/>
      <c r="HU318" s="8"/>
      <c r="HV318" s="8"/>
      <c r="HW318" s="8"/>
      <c r="HX318" s="8"/>
      <c r="HY318" s="8"/>
      <c r="HZ318" s="8"/>
      <c r="IA318" s="8"/>
      <c r="IB318" s="8"/>
      <c r="IC318" s="8"/>
      <c r="ID318" s="8"/>
      <c r="IE318" s="8"/>
      <c r="IF318" s="8"/>
      <c r="IG318" s="8"/>
      <c r="IH318" s="8"/>
      <c r="II318" s="8"/>
      <c r="IJ318" s="8"/>
      <c r="IK318" s="8"/>
      <c r="IL318" s="8"/>
      <c r="IM318" s="8"/>
      <c r="IN318" s="8"/>
      <c r="IO318" s="8"/>
      <c r="IP318" s="8"/>
      <c r="IQ318" s="8"/>
      <c r="IR318" s="8"/>
      <c r="IS318" s="8"/>
      <c r="IT318" s="8"/>
      <c r="IU318" s="8"/>
      <c r="IV318" s="8"/>
      <c r="IW318" s="8"/>
      <c r="IX318" s="8"/>
      <c r="IY318" s="8"/>
      <c r="IZ318" s="8"/>
    </row>
    <row r="319" spans="1:260" ht="2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  <c r="GC319" s="8"/>
      <c r="GD319" s="8"/>
      <c r="GE319" s="8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  <c r="HK319" s="8"/>
      <c r="HL319" s="8"/>
      <c r="HM319" s="8"/>
      <c r="HN319" s="8"/>
      <c r="HO319" s="8"/>
      <c r="HP319" s="8"/>
      <c r="HQ319" s="8"/>
      <c r="HR319" s="8"/>
      <c r="HS319" s="8"/>
      <c r="HT319" s="8"/>
      <c r="HU319" s="8"/>
      <c r="HV319" s="8"/>
      <c r="HW319" s="8"/>
      <c r="HX319" s="8"/>
      <c r="HY319" s="8"/>
      <c r="HZ319" s="8"/>
      <c r="IA319" s="8"/>
      <c r="IB319" s="8"/>
      <c r="IC319" s="8"/>
      <c r="ID319" s="8"/>
      <c r="IE319" s="8"/>
      <c r="IF319" s="8"/>
      <c r="IG319" s="8"/>
      <c r="IH319" s="8"/>
      <c r="II319" s="8"/>
      <c r="IJ319" s="8"/>
      <c r="IK319" s="8"/>
      <c r="IL319" s="8"/>
      <c r="IM319" s="8"/>
      <c r="IN319" s="8"/>
      <c r="IO319" s="8"/>
      <c r="IP319" s="8"/>
      <c r="IQ319" s="8"/>
      <c r="IR319" s="8"/>
      <c r="IS319" s="8"/>
      <c r="IT319" s="8"/>
      <c r="IU319" s="8"/>
      <c r="IV319" s="8"/>
      <c r="IW319" s="8"/>
      <c r="IX319" s="8"/>
      <c r="IY319" s="8"/>
      <c r="IZ319" s="8"/>
    </row>
    <row r="320" spans="1:260" ht="2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  <c r="GC320" s="8"/>
      <c r="GD320" s="8"/>
      <c r="GE320" s="8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  <c r="HK320" s="8"/>
      <c r="HL320" s="8"/>
      <c r="HM320" s="8"/>
      <c r="HN320" s="8"/>
      <c r="HO320" s="8"/>
      <c r="HP320" s="8"/>
      <c r="HQ320" s="8"/>
      <c r="HR320" s="8"/>
      <c r="HS320" s="8"/>
      <c r="HT320" s="8"/>
      <c r="HU320" s="8"/>
      <c r="HV320" s="8"/>
      <c r="HW320" s="8"/>
      <c r="HX320" s="8"/>
      <c r="HY320" s="8"/>
      <c r="HZ320" s="8"/>
      <c r="IA320" s="8"/>
      <c r="IB320" s="8"/>
      <c r="IC320" s="8"/>
      <c r="ID320" s="8"/>
      <c r="IE320" s="8"/>
      <c r="IF320" s="8"/>
      <c r="IG320" s="8"/>
      <c r="IH320" s="8"/>
      <c r="II320" s="8"/>
      <c r="IJ320" s="8"/>
      <c r="IK320" s="8"/>
      <c r="IL320" s="8"/>
      <c r="IM320" s="8"/>
      <c r="IN320" s="8"/>
      <c r="IO320" s="8"/>
      <c r="IP320" s="8"/>
      <c r="IQ320" s="8"/>
      <c r="IR320" s="8"/>
      <c r="IS320" s="8"/>
      <c r="IT320" s="8"/>
      <c r="IU320" s="8"/>
      <c r="IV320" s="8"/>
      <c r="IW320" s="8"/>
      <c r="IX320" s="8"/>
      <c r="IY320" s="8"/>
      <c r="IZ320" s="8"/>
    </row>
    <row r="321" spans="1:260" ht="2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  <c r="GD321" s="8"/>
      <c r="GE321" s="8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  <c r="HK321" s="8"/>
      <c r="HL321" s="8"/>
      <c r="HM321" s="8"/>
      <c r="HN321" s="8"/>
      <c r="HO321" s="8"/>
      <c r="HP321" s="8"/>
      <c r="HQ321" s="8"/>
      <c r="HR321" s="8"/>
      <c r="HS321" s="8"/>
      <c r="HT321" s="8"/>
      <c r="HU321" s="8"/>
      <c r="HV321" s="8"/>
      <c r="HW321" s="8"/>
      <c r="HX321" s="8"/>
      <c r="HY321" s="8"/>
      <c r="HZ321" s="8"/>
      <c r="IA321" s="8"/>
      <c r="IB321" s="8"/>
      <c r="IC321" s="8"/>
      <c r="ID321" s="8"/>
      <c r="IE321" s="8"/>
      <c r="IF321" s="8"/>
      <c r="IG321" s="8"/>
      <c r="IH321" s="8"/>
      <c r="II321" s="8"/>
      <c r="IJ321" s="8"/>
      <c r="IK321" s="8"/>
      <c r="IL321" s="8"/>
      <c r="IM321" s="8"/>
      <c r="IN321" s="8"/>
      <c r="IO321" s="8"/>
      <c r="IP321" s="8"/>
      <c r="IQ321" s="8"/>
      <c r="IR321" s="8"/>
      <c r="IS321" s="8"/>
      <c r="IT321" s="8"/>
      <c r="IU321" s="8"/>
      <c r="IV321" s="8"/>
      <c r="IW321" s="8"/>
      <c r="IX321" s="8"/>
      <c r="IY321" s="8"/>
      <c r="IZ321" s="8"/>
    </row>
    <row r="322" spans="1:260" ht="2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  <c r="GD322" s="8"/>
      <c r="GE322" s="8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  <c r="HK322" s="8"/>
      <c r="HL322" s="8"/>
      <c r="HM322" s="8"/>
      <c r="HN322" s="8"/>
      <c r="HO322" s="8"/>
      <c r="HP322" s="8"/>
      <c r="HQ322" s="8"/>
      <c r="HR322" s="8"/>
      <c r="HS322" s="8"/>
      <c r="HT322" s="8"/>
      <c r="HU322" s="8"/>
      <c r="HV322" s="8"/>
      <c r="HW322" s="8"/>
      <c r="HX322" s="8"/>
      <c r="HY322" s="8"/>
      <c r="HZ322" s="8"/>
      <c r="IA322" s="8"/>
      <c r="IB322" s="8"/>
      <c r="IC322" s="8"/>
      <c r="ID322" s="8"/>
      <c r="IE322" s="8"/>
      <c r="IF322" s="8"/>
      <c r="IG322" s="8"/>
      <c r="IH322" s="8"/>
      <c r="II322" s="8"/>
      <c r="IJ322" s="8"/>
      <c r="IK322" s="8"/>
      <c r="IL322" s="8"/>
      <c r="IM322" s="8"/>
      <c r="IN322" s="8"/>
      <c r="IO322" s="8"/>
      <c r="IP322" s="8"/>
      <c r="IQ322" s="8"/>
      <c r="IR322" s="8"/>
      <c r="IS322" s="8"/>
      <c r="IT322" s="8"/>
      <c r="IU322" s="8"/>
      <c r="IV322" s="8"/>
      <c r="IW322" s="8"/>
      <c r="IX322" s="8"/>
      <c r="IY322" s="8"/>
      <c r="IZ322" s="8"/>
    </row>
    <row r="323" spans="1:260" ht="2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8"/>
      <c r="GD323" s="8"/>
      <c r="GE323" s="8"/>
      <c r="GF323" s="8"/>
      <c r="GG323" s="8"/>
      <c r="GH323" s="8"/>
      <c r="GI323" s="8"/>
      <c r="GJ323" s="8"/>
      <c r="GK323" s="8"/>
      <c r="GL323" s="8"/>
      <c r="GM323" s="8"/>
      <c r="GN323" s="8"/>
      <c r="GO323" s="8"/>
      <c r="GP323" s="8"/>
      <c r="GQ323" s="8"/>
      <c r="GR323" s="8"/>
      <c r="GS323" s="8"/>
      <c r="GT323" s="8"/>
      <c r="GU323" s="8"/>
      <c r="GV323" s="8"/>
      <c r="GW323" s="8"/>
      <c r="GX323" s="8"/>
      <c r="GY323" s="8"/>
      <c r="GZ323" s="8"/>
      <c r="HA323" s="8"/>
      <c r="HB323" s="8"/>
      <c r="HC323" s="8"/>
      <c r="HD323" s="8"/>
      <c r="HE323" s="8"/>
      <c r="HF323" s="8"/>
      <c r="HG323" s="8"/>
      <c r="HH323" s="8"/>
      <c r="HI323" s="8"/>
      <c r="HJ323" s="8"/>
      <c r="HK323" s="8"/>
      <c r="HL323" s="8"/>
      <c r="HM323" s="8"/>
      <c r="HN323" s="8"/>
      <c r="HO323" s="8"/>
      <c r="HP323" s="8"/>
      <c r="HQ323" s="8"/>
      <c r="HR323" s="8"/>
      <c r="HS323" s="8"/>
      <c r="HT323" s="8"/>
      <c r="HU323" s="8"/>
      <c r="HV323" s="8"/>
      <c r="HW323" s="8"/>
      <c r="HX323" s="8"/>
      <c r="HY323" s="8"/>
      <c r="HZ323" s="8"/>
      <c r="IA323" s="8"/>
      <c r="IB323" s="8"/>
      <c r="IC323" s="8"/>
      <c r="ID323" s="8"/>
      <c r="IE323" s="8"/>
      <c r="IF323" s="8"/>
      <c r="IG323" s="8"/>
      <c r="IH323" s="8"/>
      <c r="II323" s="8"/>
      <c r="IJ323" s="8"/>
      <c r="IK323" s="8"/>
      <c r="IL323" s="8"/>
      <c r="IM323" s="8"/>
      <c r="IN323" s="8"/>
      <c r="IO323" s="8"/>
      <c r="IP323" s="8"/>
      <c r="IQ323" s="8"/>
      <c r="IR323" s="8"/>
      <c r="IS323" s="8"/>
      <c r="IT323" s="8"/>
      <c r="IU323" s="8"/>
      <c r="IV323" s="8"/>
      <c r="IW323" s="8"/>
      <c r="IX323" s="8"/>
      <c r="IY323" s="8"/>
      <c r="IZ323" s="8"/>
    </row>
    <row r="324" spans="1:260" ht="2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  <c r="GC324" s="8"/>
      <c r="GD324" s="8"/>
      <c r="GE324" s="8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  <c r="HK324" s="8"/>
      <c r="HL324" s="8"/>
      <c r="HM324" s="8"/>
      <c r="HN324" s="8"/>
      <c r="HO324" s="8"/>
      <c r="HP324" s="8"/>
      <c r="HQ324" s="8"/>
      <c r="HR324" s="8"/>
      <c r="HS324" s="8"/>
      <c r="HT324" s="8"/>
      <c r="HU324" s="8"/>
      <c r="HV324" s="8"/>
      <c r="HW324" s="8"/>
      <c r="HX324" s="8"/>
      <c r="HY324" s="8"/>
      <c r="HZ324" s="8"/>
      <c r="IA324" s="8"/>
      <c r="IB324" s="8"/>
      <c r="IC324" s="8"/>
      <c r="ID324" s="8"/>
      <c r="IE324" s="8"/>
      <c r="IF324" s="8"/>
      <c r="IG324" s="8"/>
      <c r="IH324" s="8"/>
      <c r="II324" s="8"/>
      <c r="IJ324" s="8"/>
      <c r="IK324" s="8"/>
      <c r="IL324" s="8"/>
      <c r="IM324" s="8"/>
      <c r="IN324" s="8"/>
      <c r="IO324" s="8"/>
      <c r="IP324" s="8"/>
      <c r="IQ324" s="8"/>
      <c r="IR324" s="8"/>
      <c r="IS324" s="8"/>
      <c r="IT324" s="8"/>
      <c r="IU324" s="8"/>
      <c r="IV324" s="8"/>
      <c r="IW324" s="8"/>
      <c r="IX324" s="8"/>
      <c r="IY324" s="8"/>
      <c r="IZ324" s="8"/>
    </row>
    <row r="325" spans="1:260" ht="2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8"/>
      <c r="GD325" s="8"/>
      <c r="GE325" s="8"/>
      <c r="GF325" s="8"/>
      <c r="GG325" s="8"/>
      <c r="GH325" s="8"/>
      <c r="GI325" s="8"/>
      <c r="GJ325" s="8"/>
      <c r="GK325" s="8"/>
      <c r="GL325" s="8"/>
      <c r="GM325" s="8"/>
      <c r="GN325" s="8"/>
      <c r="GO325" s="8"/>
      <c r="GP325" s="8"/>
      <c r="GQ325" s="8"/>
      <c r="GR325" s="8"/>
      <c r="GS325" s="8"/>
      <c r="GT325" s="8"/>
      <c r="GU325" s="8"/>
      <c r="GV325" s="8"/>
      <c r="GW325" s="8"/>
      <c r="GX325" s="8"/>
      <c r="GY325" s="8"/>
      <c r="GZ325" s="8"/>
      <c r="HA325" s="8"/>
      <c r="HB325" s="8"/>
      <c r="HC325" s="8"/>
      <c r="HD325" s="8"/>
      <c r="HE325" s="8"/>
      <c r="HF325" s="8"/>
      <c r="HG325" s="8"/>
      <c r="HH325" s="8"/>
      <c r="HI325" s="8"/>
      <c r="HJ325" s="8"/>
      <c r="HK325" s="8"/>
      <c r="HL325" s="8"/>
      <c r="HM325" s="8"/>
      <c r="HN325" s="8"/>
      <c r="HO325" s="8"/>
      <c r="HP325" s="8"/>
      <c r="HQ325" s="8"/>
      <c r="HR325" s="8"/>
      <c r="HS325" s="8"/>
      <c r="HT325" s="8"/>
      <c r="HU325" s="8"/>
      <c r="HV325" s="8"/>
      <c r="HW325" s="8"/>
      <c r="HX325" s="8"/>
      <c r="HY325" s="8"/>
      <c r="HZ325" s="8"/>
      <c r="IA325" s="8"/>
      <c r="IB325" s="8"/>
      <c r="IC325" s="8"/>
      <c r="ID325" s="8"/>
      <c r="IE325" s="8"/>
      <c r="IF325" s="8"/>
      <c r="IG325" s="8"/>
      <c r="IH325" s="8"/>
      <c r="II325" s="8"/>
      <c r="IJ325" s="8"/>
      <c r="IK325" s="8"/>
      <c r="IL325" s="8"/>
      <c r="IM325" s="8"/>
      <c r="IN325" s="8"/>
      <c r="IO325" s="8"/>
      <c r="IP325" s="8"/>
      <c r="IQ325" s="8"/>
      <c r="IR325" s="8"/>
      <c r="IS325" s="8"/>
      <c r="IT325" s="8"/>
      <c r="IU325" s="8"/>
      <c r="IV325" s="8"/>
      <c r="IW325" s="8"/>
      <c r="IX325" s="8"/>
      <c r="IY325" s="8"/>
      <c r="IZ325" s="8"/>
    </row>
    <row r="326" spans="1:260" ht="2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8"/>
      <c r="GD326" s="8"/>
      <c r="GE326" s="8"/>
      <c r="GF326" s="8"/>
      <c r="GG326" s="8"/>
      <c r="GH326" s="8"/>
      <c r="GI326" s="8"/>
      <c r="GJ326" s="8"/>
      <c r="GK326" s="8"/>
      <c r="GL326" s="8"/>
      <c r="GM326" s="8"/>
      <c r="GN326" s="8"/>
      <c r="GO326" s="8"/>
      <c r="GP326" s="8"/>
      <c r="GQ326" s="8"/>
      <c r="GR326" s="8"/>
      <c r="GS326" s="8"/>
      <c r="GT326" s="8"/>
      <c r="GU326" s="8"/>
      <c r="GV326" s="8"/>
      <c r="GW326" s="8"/>
      <c r="GX326" s="8"/>
      <c r="GY326" s="8"/>
      <c r="GZ326" s="8"/>
      <c r="HA326" s="8"/>
      <c r="HB326" s="8"/>
      <c r="HC326" s="8"/>
      <c r="HD326" s="8"/>
      <c r="HE326" s="8"/>
      <c r="HF326" s="8"/>
      <c r="HG326" s="8"/>
      <c r="HH326" s="8"/>
      <c r="HI326" s="8"/>
      <c r="HJ326" s="8"/>
      <c r="HK326" s="8"/>
      <c r="HL326" s="8"/>
      <c r="HM326" s="8"/>
      <c r="HN326" s="8"/>
      <c r="HO326" s="8"/>
      <c r="HP326" s="8"/>
      <c r="HQ326" s="8"/>
      <c r="HR326" s="8"/>
      <c r="HS326" s="8"/>
      <c r="HT326" s="8"/>
      <c r="HU326" s="8"/>
      <c r="HV326" s="8"/>
      <c r="HW326" s="8"/>
      <c r="HX326" s="8"/>
      <c r="HY326" s="8"/>
      <c r="HZ326" s="8"/>
      <c r="IA326" s="8"/>
      <c r="IB326" s="8"/>
      <c r="IC326" s="8"/>
      <c r="ID326" s="8"/>
      <c r="IE326" s="8"/>
      <c r="IF326" s="8"/>
      <c r="IG326" s="8"/>
      <c r="IH326" s="8"/>
      <c r="II326" s="8"/>
      <c r="IJ326" s="8"/>
      <c r="IK326" s="8"/>
      <c r="IL326" s="8"/>
      <c r="IM326" s="8"/>
      <c r="IN326" s="8"/>
      <c r="IO326" s="8"/>
      <c r="IP326" s="8"/>
      <c r="IQ326" s="8"/>
      <c r="IR326" s="8"/>
      <c r="IS326" s="8"/>
      <c r="IT326" s="8"/>
      <c r="IU326" s="8"/>
      <c r="IV326" s="8"/>
      <c r="IW326" s="8"/>
      <c r="IX326" s="8"/>
      <c r="IY326" s="8"/>
      <c r="IZ326" s="8"/>
    </row>
    <row r="327" spans="1:260" ht="2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  <c r="GC327" s="8"/>
      <c r="GD327" s="8"/>
      <c r="GE327" s="8"/>
      <c r="GF327" s="8"/>
      <c r="GG327" s="8"/>
      <c r="GH327" s="8"/>
      <c r="GI327" s="8"/>
      <c r="GJ327" s="8"/>
      <c r="GK327" s="8"/>
      <c r="GL327" s="8"/>
      <c r="GM327" s="8"/>
      <c r="GN327" s="8"/>
      <c r="GO327" s="8"/>
      <c r="GP327" s="8"/>
      <c r="GQ327" s="8"/>
      <c r="GR327" s="8"/>
      <c r="GS327" s="8"/>
      <c r="GT327" s="8"/>
      <c r="GU327" s="8"/>
      <c r="GV327" s="8"/>
      <c r="GW327" s="8"/>
      <c r="GX327" s="8"/>
      <c r="GY327" s="8"/>
      <c r="GZ327" s="8"/>
      <c r="HA327" s="8"/>
      <c r="HB327" s="8"/>
      <c r="HC327" s="8"/>
      <c r="HD327" s="8"/>
      <c r="HE327" s="8"/>
      <c r="HF327" s="8"/>
      <c r="HG327" s="8"/>
      <c r="HH327" s="8"/>
      <c r="HI327" s="8"/>
      <c r="HJ327" s="8"/>
      <c r="HK327" s="8"/>
      <c r="HL327" s="8"/>
      <c r="HM327" s="8"/>
      <c r="HN327" s="8"/>
      <c r="HO327" s="8"/>
      <c r="HP327" s="8"/>
      <c r="HQ327" s="8"/>
      <c r="HR327" s="8"/>
      <c r="HS327" s="8"/>
      <c r="HT327" s="8"/>
      <c r="HU327" s="8"/>
      <c r="HV327" s="8"/>
      <c r="HW327" s="8"/>
      <c r="HX327" s="8"/>
      <c r="HY327" s="8"/>
      <c r="HZ327" s="8"/>
      <c r="IA327" s="8"/>
      <c r="IB327" s="8"/>
      <c r="IC327" s="8"/>
      <c r="ID327" s="8"/>
      <c r="IE327" s="8"/>
      <c r="IF327" s="8"/>
      <c r="IG327" s="8"/>
      <c r="IH327" s="8"/>
      <c r="II327" s="8"/>
      <c r="IJ327" s="8"/>
      <c r="IK327" s="8"/>
      <c r="IL327" s="8"/>
      <c r="IM327" s="8"/>
      <c r="IN327" s="8"/>
      <c r="IO327" s="8"/>
      <c r="IP327" s="8"/>
      <c r="IQ327" s="8"/>
      <c r="IR327" s="8"/>
      <c r="IS327" s="8"/>
      <c r="IT327" s="8"/>
      <c r="IU327" s="8"/>
      <c r="IV327" s="8"/>
      <c r="IW327" s="8"/>
      <c r="IX327" s="8"/>
      <c r="IY327" s="8"/>
      <c r="IZ327" s="8"/>
    </row>
    <row r="328" spans="1:260" ht="2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  <c r="GD328" s="8"/>
      <c r="GE328" s="8"/>
      <c r="GF328" s="8"/>
      <c r="GG328" s="8"/>
      <c r="GH328" s="8"/>
      <c r="GI328" s="8"/>
      <c r="GJ328" s="8"/>
      <c r="GK328" s="8"/>
      <c r="GL328" s="8"/>
      <c r="GM328" s="8"/>
      <c r="GN328" s="8"/>
      <c r="GO328" s="8"/>
      <c r="GP328" s="8"/>
      <c r="GQ328" s="8"/>
      <c r="GR328" s="8"/>
      <c r="GS328" s="8"/>
      <c r="GT328" s="8"/>
      <c r="GU328" s="8"/>
      <c r="GV328" s="8"/>
      <c r="GW328" s="8"/>
      <c r="GX328" s="8"/>
      <c r="GY328" s="8"/>
      <c r="GZ328" s="8"/>
      <c r="HA328" s="8"/>
      <c r="HB328" s="8"/>
      <c r="HC328" s="8"/>
      <c r="HD328" s="8"/>
      <c r="HE328" s="8"/>
      <c r="HF328" s="8"/>
      <c r="HG328" s="8"/>
      <c r="HH328" s="8"/>
      <c r="HI328" s="8"/>
      <c r="HJ328" s="8"/>
      <c r="HK328" s="8"/>
      <c r="HL328" s="8"/>
      <c r="HM328" s="8"/>
      <c r="HN328" s="8"/>
      <c r="HO328" s="8"/>
      <c r="HP328" s="8"/>
      <c r="HQ328" s="8"/>
      <c r="HR328" s="8"/>
      <c r="HS328" s="8"/>
      <c r="HT328" s="8"/>
      <c r="HU328" s="8"/>
      <c r="HV328" s="8"/>
      <c r="HW328" s="8"/>
      <c r="HX328" s="8"/>
      <c r="HY328" s="8"/>
      <c r="HZ328" s="8"/>
      <c r="IA328" s="8"/>
      <c r="IB328" s="8"/>
      <c r="IC328" s="8"/>
      <c r="ID328" s="8"/>
      <c r="IE328" s="8"/>
      <c r="IF328" s="8"/>
      <c r="IG328" s="8"/>
      <c r="IH328" s="8"/>
      <c r="II328" s="8"/>
      <c r="IJ328" s="8"/>
      <c r="IK328" s="8"/>
      <c r="IL328" s="8"/>
      <c r="IM328" s="8"/>
      <c r="IN328" s="8"/>
      <c r="IO328" s="8"/>
      <c r="IP328" s="8"/>
      <c r="IQ328" s="8"/>
      <c r="IR328" s="8"/>
      <c r="IS328" s="8"/>
      <c r="IT328" s="8"/>
      <c r="IU328" s="8"/>
      <c r="IV328" s="8"/>
      <c r="IW328" s="8"/>
      <c r="IX328" s="8"/>
      <c r="IY328" s="8"/>
      <c r="IZ328" s="8"/>
    </row>
    <row r="329" spans="1:260" ht="2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  <c r="GD329" s="8"/>
      <c r="GE329" s="8"/>
      <c r="GF329" s="8"/>
      <c r="GG329" s="8"/>
      <c r="GH329" s="8"/>
      <c r="GI329" s="8"/>
      <c r="GJ329" s="8"/>
      <c r="GK329" s="8"/>
      <c r="GL329" s="8"/>
      <c r="GM329" s="8"/>
      <c r="GN329" s="8"/>
      <c r="GO329" s="8"/>
      <c r="GP329" s="8"/>
      <c r="GQ329" s="8"/>
      <c r="GR329" s="8"/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  <c r="HK329" s="8"/>
      <c r="HL329" s="8"/>
      <c r="HM329" s="8"/>
      <c r="HN329" s="8"/>
      <c r="HO329" s="8"/>
      <c r="HP329" s="8"/>
      <c r="HQ329" s="8"/>
      <c r="HR329" s="8"/>
      <c r="HS329" s="8"/>
      <c r="HT329" s="8"/>
      <c r="HU329" s="8"/>
      <c r="HV329" s="8"/>
      <c r="HW329" s="8"/>
      <c r="HX329" s="8"/>
      <c r="HY329" s="8"/>
      <c r="HZ329" s="8"/>
      <c r="IA329" s="8"/>
      <c r="IB329" s="8"/>
      <c r="IC329" s="8"/>
      <c r="ID329" s="8"/>
      <c r="IE329" s="8"/>
      <c r="IF329" s="8"/>
      <c r="IG329" s="8"/>
      <c r="IH329" s="8"/>
      <c r="II329" s="8"/>
      <c r="IJ329" s="8"/>
      <c r="IK329" s="8"/>
      <c r="IL329" s="8"/>
      <c r="IM329" s="8"/>
      <c r="IN329" s="8"/>
      <c r="IO329" s="8"/>
      <c r="IP329" s="8"/>
      <c r="IQ329" s="8"/>
      <c r="IR329" s="8"/>
      <c r="IS329" s="8"/>
      <c r="IT329" s="8"/>
      <c r="IU329" s="8"/>
      <c r="IV329" s="8"/>
      <c r="IW329" s="8"/>
      <c r="IX329" s="8"/>
      <c r="IY329" s="8"/>
      <c r="IZ329" s="8"/>
    </row>
    <row r="330" spans="1:260" ht="2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  <c r="GD330" s="8"/>
      <c r="GE330" s="8"/>
      <c r="GF330" s="8"/>
      <c r="GG330" s="8"/>
      <c r="GH330" s="8"/>
      <c r="GI330" s="8"/>
      <c r="GJ330" s="8"/>
      <c r="GK330" s="8"/>
      <c r="GL330" s="8"/>
      <c r="GM330" s="8"/>
      <c r="GN330" s="8"/>
      <c r="GO330" s="8"/>
      <c r="GP330" s="8"/>
      <c r="GQ330" s="8"/>
      <c r="GR330" s="8"/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  <c r="HK330" s="8"/>
      <c r="HL330" s="8"/>
      <c r="HM330" s="8"/>
      <c r="HN330" s="8"/>
      <c r="HO330" s="8"/>
      <c r="HP330" s="8"/>
      <c r="HQ330" s="8"/>
      <c r="HR330" s="8"/>
      <c r="HS330" s="8"/>
      <c r="HT330" s="8"/>
      <c r="HU330" s="8"/>
      <c r="HV330" s="8"/>
      <c r="HW330" s="8"/>
      <c r="HX330" s="8"/>
      <c r="HY330" s="8"/>
      <c r="HZ330" s="8"/>
      <c r="IA330" s="8"/>
      <c r="IB330" s="8"/>
      <c r="IC330" s="8"/>
      <c r="ID330" s="8"/>
      <c r="IE330" s="8"/>
      <c r="IF330" s="8"/>
      <c r="IG330" s="8"/>
      <c r="IH330" s="8"/>
      <c r="II330" s="8"/>
      <c r="IJ330" s="8"/>
      <c r="IK330" s="8"/>
      <c r="IL330" s="8"/>
      <c r="IM330" s="8"/>
      <c r="IN330" s="8"/>
      <c r="IO330" s="8"/>
      <c r="IP330" s="8"/>
      <c r="IQ330" s="8"/>
      <c r="IR330" s="8"/>
      <c r="IS330" s="8"/>
      <c r="IT330" s="8"/>
      <c r="IU330" s="8"/>
      <c r="IV330" s="8"/>
      <c r="IW330" s="8"/>
      <c r="IX330" s="8"/>
      <c r="IY330" s="8"/>
      <c r="IZ330" s="8"/>
    </row>
    <row r="331" spans="1:260" ht="2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  <c r="HM331" s="8"/>
      <c r="HN331" s="8"/>
      <c r="HO331" s="8"/>
      <c r="HP331" s="8"/>
      <c r="HQ331" s="8"/>
      <c r="HR331" s="8"/>
      <c r="HS331" s="8"/>
      <c r="HT331" s="8"/>
      <c r="HU331" s="8"/>
      <c r="HV331" s="8"/>
      <c r="HW331" s="8"/>
      <c r="HX331" s="8"/>
      <c r="HY331" s="8"/>
      <c r="HZ331" s="8"/>
      <c r="IA331" s="8"/>
      <c r="IB331" s="8"/>
      <c r="IC331" s="8"/>
      <c r="ID331" s="8"/>
      <c r="IE331" s="8"/>
      <c r="IF331" s="8"/>
      <c r="IG331" s="8"/>
      <c r="IH331" s="8"/>
      <c r="II331" s="8"/>
      <c r="IJ331" s="8"/>
      <c r="IK331" s="8"/>
      <c r="IL331" s="8"/>
      <c r="IM331" s="8"/>
      <c r="IN331" s="8"/>
      <c r="IO331" s="8"/>
      <c r="IP331" s="8"/>
      <c r="IQ331" s="8"/>
      <c r="IR331" s="8"/>
      <c r="IS331" s="8"/>
      <c r="IT331" s="8"/>
      <c r="IU331" s="8"/>
      <c r="IV331" s="8"/>
      <c r="IW331" s="8"/>
      <c r="IX331" s="8"/>
      <c r="IY331" s="8"/>
      <c r="IZ331" s="8"/>
    </row>
    <row r="332" spans="1:260" ht="2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  <c r="FR332" s="8"/>
      <c r="FS332" s="8"/>
      <c r="FT332" s="8"/>
      <c r="FU332" s="8"/>
      <c r="FV332" s="8"/>
      <c r="FW332" s="8"/>
      <c r="FX332" s="8"/>
      <c r="FY332" s="8"/>
      <c r="FZ332" s="8"/>
      <c r="GA332" s="8"/>
      <c r="GB332" s="8"/>
      <c r="GC332" s="8"/>
      <c r="GD332" s="8"/>
      <c r="GE332" s="8"/>
      <c r="GF332" s="8"/>
      <c r="GG332" s="8"/>
      <c r="GH332" s="8"/>
      <c r="GI332" s="8"/>
      <c r="GJ332" s="8"/>
      <c r="GK332" s="8"/>
      <c r="GL332" s="8"/>
      <c r="GM332" s="8"/>
      <c r="GN332" s="8"/>
      <c r="GO332" s="8"/>
      <c r="GP332" s="8"/>
      <c r="GQ332" s="8"/>
      <c r="GR332" s="8"/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/>
      <c r="HI332" s="8"/>
      <c r="HJ332" s="8"/>
      <c r="HK332" s="8"/>
      <c r="HL332" s="8"/>
      <c r="HM332" s="8"/>
      <c r="HN332" s="8"/>
      <c r="HO332" s="8"/>
      <c r="HP332" s="8"/>
      <c r="HQ332" s="8"/>
      <c r="HR332" s="8"/>
      <c r="HS332" s="8"/>
      <c r="HT332" s="8"/>
      <c r="HU332" s="8"/>
      <c r="HV332" s="8"/>
      <c r="HW332" s="8"/>
      <c r="HX332" s="8"/>
      <c r="HY332" s="8"/>
      <c r="HZ332" s="8"/>
      <c r="IA332" s="8"/>
      <c r="IB332" s="8"/>
      <c r="IC332" s="8"/>
      <c r="ID332" s="8"/>
      <c r="IE332" s="8"/>
      <c r="IF332" s="8"/>
      <c r="IG332" s="8"/>
      <c r="IH332" s="8"/>
      <c r="II332" s="8"/>
      <c r="IJ332" s="8"/>
      <c r="IK332" s="8"/>
      <c r="IL332" s="8"/>
      <c r="IM332" s="8"/>
      <c r="IN332" s="8"/>
      <c r="IO332" s="8"/>
      <c r="IP332" s="8"/>
      <c r="IQ332" s="8"/>
      <c r="IR332" s="8"/>
      <c r="IS332" s="8"/>
      <c r="IT332" s="8"/>
      <c r="IU332" s="8"/>
      <c r="IV332" s="8"/>
      <c r="IW332" s="8"/>
      <c r="IX332" s="8"/>
      <c r="IY332" s="8"/>
      <c r="IZ332" s="8"/>
    </row>
    <row r="333" spans="1:260" ht="2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  <c r="GD333" s="8"/>
      <c r="GE333" s="8"/>
      <c r="GF333" s="8"/>
      <c r="GG333" s="8"/>
      <c r="GH333" s="8"/>
      <c r="GI333" s="8"/>
      <c r="GJ333" s="8"/>
      <c r="GK333" s="8"/>
      <c r="GL333" s="8"/>
      <c r="GM333" s="8"/>
      <c r="GN333" s="8"/>
      <c r="GO333" s="8"/>
      <c r="GP333" s="8"/>
      <c r="GQ333" s="8"/>
      <c r="GR333" s="8"/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  <c r="HK333" s="8"/>
      <c r="HL333" s="8"/>
      <c r="HM333" s="8"/>
      <c r="HN333" s="8"/>
      <c r="HO333" s="8"/>
      <c r="HP333" s="8"/>
      <c r="HQ333" s="8"/>
      <c r="HR333" s="8"/>
      <c r="HS333" s="8"/>
      <c r="HT333" s="8"/>
      <c r="HU333" s="8"/>
      <c r="HV333" s="8"/>
      <c r="HW333" s="8"/>
      <c r="HX333" s="8"/>
      <c r="HY333" s="8"/>
      <c r="HZ333" s="8"/>
      <c r="IA333" s="8"/>
      <c r="IB333" s="8"/>
      <c r="IC333" s="8"/>
      <c r="ID333" s="8"/>
      <c r="IE333" s="8"/>
      <c r="IF333" s="8"/>
      <c r="IG333" s="8"/>
      <c r="IH333" s="8"/>
      <c r="II333" s="8"/>
      <c r="IJ333" s="8"/>
      <c r="IK333" s="8"/>
      <c r="IL333" s="8"/>
      <c r="IM333" s="8"/>
      <c r="IN333" s="8"/>
      <c r="IO333" s="8"/>
      <c r="IP333" s="8"/>
      <c r="IQ333" s="8"/>
      <c r="IR333" s="8"/>
      <c r="IS333" s="8"/>
      <c r="IT333" s="8"/>
      <c r="IU333" s="8"/>
      <c r="IV333" s="8"/>
      <c r="IW333" s="8"/>
      <c r="IX333" s="8"/>
      <c r="IY333" s="8"/>
      <c r="IZ333" s="8"/>
    </row>
    <row r="334" spans="1:260" ht="2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  <c r="GA334" s="8"/>
      <c r="GB334" s="8"/>
      <c r="GC334" s="8"/>
      <c r="GD334" s="8"/>
      <c r="GE334" s="8"/>
      <c r="GF334" s="8"/>
      <c r="GG334" s="8"/>
      <c r="GH334" s="8"/>
      <c r="GI334" s="8"/>
      <c r="GJ334" s="8"/>
      <c r="GK334" s="8"/>
      <c r="GL334" s="8"/>
      <c r="GM334" s="8"/>
      <c r="GN334" s="8"/>
      <c r="GO334" s="8"/>
      <c r="GP334" s="8"/>
      <c r="GQ334" s="8"/>
      <c r="GR334" s="8"/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  <c r="HK334" s="8"/>
      <c r="HL334" s="8"/>
      <c r="HM334" s="8"/>
      <c r="HN334" s="8"/>
      <c r="HO334" s="8"/>
      <c r="HP334" s="8"/>
      <c r="HQ334" s="8"/>
      <c r="HR334" s="8"/>
      <c r="HS334" s="8"/>
      <c r="HT334" s="8"/>
      <c r="HU334" s="8"/>
      <c r="HV334" s="8"/>
      <c r="HW334" s="8"/>
      <c r="HX334" s="8"/>
      <c r="HY334" s="8"/>
      <c r="HZ334" s="8"/>
      <c r="IA334" s="8"/>
      <c r="IB334" s="8"/>
      <c r="IC334" s="8"/>
      <c r="ID334" s="8"/>
      <c r="IE334" s="8"/>
      <c r="IF334" s="8"/>
      <c r="IG334" s="8"/>
      <c r="IH334" s="8"/>
      <c r="II334" s="8"/>
      <c r="IJ334" s="8"/>
      <c r="IK334" s="8"/>
      <c r="IL334" s="8"/>
      <c r="IM334" s="8"/>
      <c r="IN334" s="8"/>
      <c r="IO334" s="8"/>
      <c r="IP334" s="8"/>
      <c r="IQ334" s="8"/>
      <c r="IR334" s="8"/>
      <c r="IS334" s="8"/>
      <c r="IT334" s="8"/>
      <c r="IU334" s="8"/>
      <c r="IV334" s="8"/>
      <c r="IW334" s="8"/>
      <c r="IX334" s="8"/>
      <c r="IY334" s="8"/>
      <c r="IZ334" s="8"/>
    </row>
    <row r="335" spans="1:260" ht="2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  <c r="GA335" s="8"/>
      <c r="GB335" s="8"/>
      <c r="GC335" s="8"/>
      <c r="GD335" s="8"/>
      <c r="GE335" s="8"/>
      <c r="GF335" s="8"/>
      <c r="GG335" s="8"/>
      <c r="GH335" s="8"/>
      <c r="GI335" s="8"/>
      <c r="GJ335" s="8"/>
      <c r="GK335" s="8"/>
      <c r="GL335" s="8"/>
      <c r="GM335" s="8"/>
      <c r="GN335" s="8"/>
      <c r="GO335" s="8"/>
      <c r="GP335" s="8"/>
      <c r="GQ335" s="8"/>
      <c r="GR335" s="8"/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  <c r="HK335" s="8"/>
      <c r="HL335" s="8"/>
      <c r="HM335" s="8"/>
      <c r="HN335" s="8"/>
      <c r="HO335" s="8"/>
      <c r="HP335" s="8"/>
      <c r="HQ335" s="8"/>
      <c r="HR335" s="8"/>
      <c r="HS335" s="8"/>
      <c r="HT335" s="8"/>
      <c r="HU335" s="8"/>
      <c r="HV335" s="8"/>
      <c r="HW335" s="8"/>
      <c r="HX335" s="8"/>
      <c r="HY335" s="8"/>
      <c r="HZ335" s="8"/>
      <c r="IA335" s="8"/>
      <c r="IB335" s="8"/>
      <c r="IC335" s="8"/>
      <c r="ID335" s="8"/>
      <c r="IE335" s="8"/>
      <c r="IF335" s="8"/>
      <c r="IG335" s="8"/>
      <c r="IH335" s="8"/>
      <c r="II335" s="8"/>
      <c r="IJ335" s="8"/>
      <c r="IK335" s="8"/>
      <c r="IL335" s="8"/>
      <c r="IM335" s="8"/>
      <c r="IN335" s="8"/>
      <c r="IO335" s="8"/>
      <c r="IP335" s="8"/>
      <c r="IQ335" s="8"/>
      <c r="IR335" s="8"/>
      <c r="IS335" s="8"/>
      <c r="IT335" s="8"/>
      <c r="IU335" s="8"/>
      <c r="IV335" s="8"/>
      <c r="IW335" s="8"/>
      <c r="IX335" s="8"/>
      <c r="IY335" s="8"/>
      <c r="IZ335" s="8"/>
    </row>
    <row r="336" spans="1:260" ht="2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  <c r="GD336" s="8"/>
      <c r="GE336" s="8"/>
      <c r="GF336" s="8"/>
      <c r="GG336" s="8"/>
      <c r="GH336" s="8"/>
      <c r="GI336" s="8"/>
      <c r="GJ336" s="8"/>
      <c r="GK336" s="8"/>
      <c r="GL336" s="8"/>
      <c r="GM336" s="8"/>
      <c r="GN336" s="8"/>
      <c r="GO336" s="8"/>
      <c r="GP336" s="8"/>
      <c r="GQ336" s="8"/>
      <c r="GR336" s="8"/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  <c r="HK336" s="8"/>
      <c r="HL336" s="8"/>
      <c r="HM336" s="8"/>
      <c r="HN336" s="8"/>
      <c r="HO336" s="8"/>
      <c r="HP336" s="8"/>
      <c r="HQ336" s="8"/>
      <c r="HR336" s="8"/>
      <c r="HS336" s="8"/>
      <c r="HT336" s="8"/>
      <c r="HU336" s="8"/>
      <c r="HV336" s="8"/>
      <c r="HW336" s="8"/>
      <c r="HX336" s="8"/>
      <c r="HY336" s="8"/>
      <c r="HZ336" s="8"/>
      <c r="IA336" s="8"/>
      <c r="IB336" s="8"/>
      <c r="IC336" s="8"/>
      <c r="ID336" s="8"/>
      <c r="IE336" s="8"/>
      <c r="IF336" s="8"/>
      <c r="IG336" s="8"/>
      <c r="IH336" s="8"/>
      <c r="II336" s="8"/>
      <c r="IJ336" s="8"/>
      <c r="IK336" s="8"/>
      <c r="IL336" s="8"/>
      <c r="IM336" s="8"/>
      <c r="IN336" s="8"/>
      <c r="IO336" s="8"/>
      <c r="IP336" s="8"/>
      <c r="IQ336" s="8"/>
      <c r="IR336" s="8"/>
      <c r="IS336" s="8"/>
      <c r="IT336" s="8"/>
      <c r="IU336" s="8"/>
      <c r="IV336" s="8"/>
      <c r="IW336" s="8"/>
      <c r="IX336" s="8"/>
      <c r="IY336" s="8"/>
      <c r="IZ336" s="8"/>
    </row>
    <row r="337" spans="1:260" ht="2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  <c r="HK337" s="8"/>
      <c r="HL337" s="8"/>
      <c r="HM337" s="8"/>
      <c r="HN337" s="8"/>
      <c r="HO337" s="8"/>
      <c r="HP337" s="8"/>
      <c r="HQ337" s="8"/>
      <c r="HR337" s="8"/>
      <c r="HS337" s="8"/>
      <c r="HT337" s="8"/>
      <c r="HU337" s="8"/>
      <c r="HV337" s="8"/>
      <c r="HW337" s="8"/>
      <c r="HX337" s="8"/>
      <c r="HY337" s="8"/>
      <c r="HZ337" s="8"/>
      <c r="IA337" s="8"/>
      <c r="IB337" s="8"/>
      <c r="IC337" s="8"/>
      <c r="ID337" s="8"/>
      <c r="IE337" s="8"/>
      <c r="IF337" s="8"/>
      <c r="IG337" s="8"/>
      <c r="IH337" s="8"/>
      <c r="II337" s="8"/>
      <c r="IJ337" s="8"/>
      <c r="IK337" s="8"/>
      <c r="IL337" s="8"/>
      <c r="IM337" s="8"/>
      <c r="IN337" s="8"/>
      <c r="IO337" s="8"/>
      <c r="IP337" s="8"/>
      <c r="IQ337" s="8"/>
      <c r="IR337" s="8"/>
      <c r="IS337" s="8"/>
      <c r="IT337" s="8"/>
      <c r="IU337" s="8"/>
      <c r="IV337" s="8"/>
      <c r="IW337" s="8"/>
      <c r="IX337" s="8"/>
      <c r="IY337" s="8"/>
      <c r="IZ337" s="8"/>
    </row>
    <row r="338" spans="1:260" ht="2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  <c r="GD338" s="8"/>
      <c r="GE338" s="8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  <c r="HK338" s="8"/>
      <c r="HL338" s="8"/>
      <c r="HM338" s="8"/>
      <c r="HN338" s="8"/>
      <c r="HO338" s="8"/>
      <c r="HP338" s="8"/>
      <c r="HQ338" s="8"/>
      <c r="HR338" s="8"/>
      <c r="HS338" s="8"/>
      <c r="HT338" s="8"/>
      <c r="HU338" s="8"/>
      <c r="HV338" s="8"/>
      <c r="HW338" s="8"/>
      <c r="HX338" s="8"/>
      <c r="HY338" s="8"/>
      <c r="HZ338" s="8"/>
      <c r="IA338" s="8"/>
      <c r="IB338" s="8"/>
      <c r="IC338" s="8"/>
      <c r="ID338" s="8"/>
      <c r="IE338" s="8"/>
      <c r="IF338" s="8"/>
      <c r="IG338" s="8"/>
      <c r="IH338" s="8"/>
      <c r="II338" s="8"/>
      <c r="IJ338" s="8"/>
      <c r="IK338" s="8"/>
      <c r="IL338" s="8"/>
      <c r="IM338" s="8"/>
      <c r="IN338" s="8"/>
      <c r="IO338" s="8"/>
      <c r="IP338" s="8"/>
      <c r="IQ338" s="8"/>
      <c r="IR338" s="8"/>
      <c r="IS338" s="8"/>
      <c r="IT338" s="8"/>
      <c r="IU338" s="8"/>
      <c r="IV338" s="8"/>
      <c r="IW338" s="8"/>
      <c r="IX338" s="8"/>
      <c r="IY338" s="8"/>
      <c r="IZ338" s="8"/>
    </row>
    <row r="339" spans="1:260" ht="2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  <c r="GA339" s="8"/>
      <c r="GB339" s="8"/>
      <c r="GC339" s="8"/>
      <c r="GD339" s="8"/>
      <c r="GE339" s="8"/>
      <c r="GF339" s="8"/>
      <c r="GG339" s="8"/>
      <c r="GH339" s="8"/>
      <c r="GI339" s="8"/>
      <c r="GJ339" s="8"/>
      <c r="GK339" s="8"/>
      <c r="GL339" s="8"/>
      <c r="GM339" s="8"/>
      <c r="GN339" s="8"/>
      <c r="GO339" s="8"/>
      <c r="GP339" s="8"/>
      <c r="GQ339" s="8"/>
      <c r="GR339" s="8"/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/>
      <c r="HJ339" s="8"/>
      <c r="HK339" s="8"/>
      <c r="HL339" s="8"/>
      <c r="HM339" s="8"/>
      <c r="HN339" s="8"/>
      <c r="HO339" s="8"/>
      <c r="HP339" s="8"/>
      <c r="HQ339" s="8"/>
      <c r="HR339" s="8"/>
      <c r="HS339" s="8"/>
      <c r="HT339" s="8"/>
      <c r="HU339" s="8"/>
      <c r="HV339" s="8"/>
      <c r="HW339" s="8"/>
      <c r="HX339" s="8"/>
      <c r="HY339" s="8"/>
      <c r="HZ339" s="8"/>
      <c r="IA339" s="8"/>
      <c r="IB339" s="8"/>
      <c r="IC339" s="8"/>
      <c r="ID339" s="8"/>
      <c r="IE339" s="8"/>
      <c r="IF339" s="8"/>
      <c r="IG339" s="8"/>
      <c r="IH339" s="8"/>
      <c r="II339" s="8"/>
      <c r="IJ339" s="8"/>
      <c r="IK339" s="8"/>
      <c r="IL339" s="8"/>
      <c r="IM339" s="8"/>
      <c r="IN339" s="8"/>
      <c r="IO339" s="8"/>
      <c r="IP339" s="8"/>
      <c r="IQ339" s="8"/>
      <c r="IR339" s="8"/>
      <c r="IS339" s="8"/>
      <c r="IT339" s="8"/>
      <c r="IU339" s="8"/>
      <c r="IV339" s="8"/>
      <c r="IW339" s="8"/>
      <c r="IX339" s="8"/>
      <c r="IY339" s="8"/>
      <c r="IZ339" s="8"/>
    </row>
    <row r="340" spans="1:260" ht="2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  <c r="HK340" s="8"/>
      <c r="HL340" s="8"/>
      <c r="HM340" s="8"/>
      <c r="HN340" s="8"/>
      <c r="HO340" s="8"/>
      <c r="HP340" s="8"/>
      <c r="HQ340" s="8"/>
      <c r="HR340" s="8"/>
      <c r="HS340" s="8"/>
      <c r="HT340" s="8"/>
      <c r="HU340" s="8"/>
      <c r="HV340" s="8"/>
      <c r="HW340" s="8"/>
      <c r="HX340" s="8"/>
      <c r="HY340" s="8"/>
      <c r="HZ340" s="8"/>
      <c r="IA340" s="8"/>
      <c r="IB340" s="8"/>
      <c r="IC340" s="8"/>
      <c r="ID340" s="8"/>
      <c r="IE340" s="8"/>
      <c r="IF340" s="8"/>
      <c r="IG340" s="8"/>
      <c r="IH340" s="8"/>
      <c r="II340" s="8"/>
      <c r="IJ340" s="8"/>
      <c r="IK340" s="8"/>
      <c r="IL340" s="8"/>
      <c r="IM340" s="8"/>
      <c r="IN340" s="8"/>
      <c r="IO340" s="8"/>
      <c r="IP340" s="8"/>
      <c r="IQ340" s="8"/>
      <c r="IR340" s="8"/>
      <c r="IS340" s="8"/>
      <c r="IT340" s="8"/>
      <c r="IU340" s="8"/>
      <c r="IV340" s="8"/>
      <c r="IW340" s="8"/>
      <c r="IX340" s="8"/>
      <c r="IY340" s="8"/>
      <c r="IZ340" s="8"/>
    </row>
    <row r="341" spans="1:260" ht="2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  <c r="HK341" s="8"/>
      <c r="HL341" s="8"/>
      <c r="HM341" s="8"/>
      <c r="HN341" s="8"/>
      <c r="HO341" s="8"/>
      <c r="HP341" s="8"/>
      <c r="HQ341" s="8"/>
      <c r="HR341" s="8"/>
      <c r="HS341" s="8"/>
      <c r="HT341" s="8"/>
      <c r="HU341" s="8"/>
      <c r="HV341" s="8"/>
      <c r="HW341" s="8"/>
      <c r="HX341" s="8"/>
      <c r="HY341" s="8"/>
      <c r="HZ341" s="8"/>
      <c r="IA341" s="8"/>
      <c r="IB341" s="8"/>
      <c r="IC341" s="8"/>
      <c r="ID341" s="8"/>
      <c r="IE341" s="8"/>
      <c r="IF341" s="8"/>
      <c r="IG341" s="8"/>
      <c r="IH341" s="8"/>
      <c r="II341" s="8"/>
      <c r="IJ341" s="8"/>
      <c r="IK341" s="8"/>
      <c r="IL341" s="8"/>
      <c r="IM341" s="8"/>
      <c r="IN341" s="8"/>
      <c r="IO341" s="8"/>
      <c r="IP341" s="8"/>
      <c r="IQ341" s="8"/>
      <c r="IR341" s="8"/>
      <c r="IS341" s="8"/>
      <c r="IT341" s="8"/>
      <c r="IU341" s="8"/>
      <c r="IV341" s="8"/>
      <c r="IW341" s="8"/>
      <c r="IX341" s="8"/>
      <c r="IY341" s="8"/>
      <c r="IZ341" s="8"/>
    </row>
    <row r="342" spans="1:260" ht="2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  <c r="HK342" s="8"/>
      <c r="HL342" s="8"/>
      <c r="HM342" s="8"/>
      <c r="HN342" s="8"/>
      <c r="HO342" s="8"/>
      <c r="HP342" s="8"/>
      <c r="HQ342" s="8"/>
      <c r="HR342" s="8"/>
      <c r="HS342" s="8"/>
      <c r="HT342" s="8"/>
      <c r="HU342" s="8"/>
      <c r="HV342" s="8"/>
      <c r="HW342" s="8"/>
      <c r="HX342" s="8"/>
      <c r="HY342" s="8"/>
      <c r="HZ342" s="8"/>
      <c r="IA342" s="8"/>
      <c r="IB342" s="8"/>
      <c r="IC342" s="8"/>
      <c r="ID342" s="8"/>
      <c r="IE342" s="8"/>
      <c r="IF342" s="8"/>
      <c r="IG342" s="8"/>
      <c r="IH342" s="8"/>
      <c r="II342" s="8"/>
      <c r="IJ342" s="8"/>
      <c r="IK342" s="8"/>
      <c r="IL342" s="8"/>
      <c r="IM342" s="8"/>
      <c r="IN342" s="8"/>
      <c r="IO342" s="8"/>
      <c r="IP342" s="8"/>
      <c r="IQ342" s="8"/>
      <c r="IR342" s="8"/>
      <c r="IS342" s="8"/>
      <c r="IT342" s="8"/>
      <c r="IU342" s="8"/>
      <c r="IV342" s="8"/>
      <c r="IW342" s="8"/>
      <c r="IX342" s="8"/>
      <c r="IY342" s="8"/>
      <c r="IZ342" s="8"/>
    </row>
    <row r="343" spans="1:260" ht="2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  <c r="HK343" s="8"/>
      <c r="HL343" s="8"/>
      <c r="HM343" s="8"/>
      <c r="HN343" s="8"/>
      <c r="HO343" s="8"/>
      <c r="HP343" s="8"/>
      <c r="HQ343" s="8"/>
      <c r="HR343" s="8"/>
      <c r="HS343" s="8"/>
      <c r="HT343" s="8"/>
      <c r="HU343" s="8"/>
      <c r="HV343" s="8"/>
      <c r="HW343" s="8"/>
      <c r="HX343" s="8"/>
      <c r="HY343" s="8"/>
      <c r="HZ343" s="8"/>
      <c r="IA343" s="8"/>
      <c r="IB343" s="8"/>
      <c r="IC343" s="8"/>
      <c r="ID343" s="8"/>
      <c r="IE343" s="8"/>
      <c r="IF343" s="8"/>
      <c r="IG343" s="8"/>
      <c r="IH343" s="8"/>
      <c r="II343" s="8"/>
      <c r="IJ343" s="8"/>
      <c r="IK343" s="8"/>
      <c r="IL343" s="8"/>
      <c r="IM343" s="8"/>
      <c r="IN343" s="8"/>
      <c r="IO343" s="8"/>
      <c r="IP343" s="8"/>
      <c r="IQ343" s="8"/>
      <c r="IR343" s="8"/>
      <c r="IS343" s="8"/>
      <c r="IT343" s="8"/>
      <c r="IU343" s="8"/>
      <c r="IV343" s="8"/>
      <c r="IW343" s="8"/>
      <c r="IX343" s="8"/>
      <c r="IY343" s="8"/>
      <c r="IZ343" s="8"/>
    </row>
    <row r="344" spans="1:260" ht="2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  <c r="HK344" s="8"/>
      <c r="HL344" s="8"/>
      <c r="HM344" s="8"/>
      <c r="HN344" s="8"/>
      <c r="HO344" s="8"/>
      <c r="HP344" s="8"/>
      <c r="HQ344" s="8"/>
      <c r="HR344" s="8"/>
      <c r="HS344" s="8"/>
      <c r="HT344" s="8"/>
      <c r="HU344" s="8"/>
      <c r="HV344" s="8"/>
      <c r="HW344" s="8"/>
      <c r="HX344" s="8"/>
      <c r="HY344" s="8"/>
      <c r="HZ344" s="8"/>
      <c r="IA344" s="8"/>
      <c r="IB344" s="8"/>
      <c r="IC344" s="8"/>
      <c r="ID344" s="8"/>
      <c r="IE344" s="8"/>
      <c r="IF344" s="8"/>
      <c r="IG344" s="8"/>
      <c r="IH344" s="8"/>
      <c r="II344" s="8"/>
      <c r="IJ344" s="8"/>
      <c r="IK344" s="8"/>
      <c r="IL344" s="8"/>
      <c r="IM344" s="8"/>
      <c r="IN344" s="8"/>
      <c r="IO344" s="8"/>
      <c r="IP344" s="8"/>
      <c r="IQ344" s="8"/>
      <c r="IR344" s="8"/>
      <c r="IS344" s="8"/>
      <c r="IT344" s="8"/>
      <c r="IU344" s="8"/>
      <c r="IV344" s="8"/>
      <c r="IW344" s="8"/>
      <c r="IX344" s="8"/>
      <c r="IY344" s="8"/>
      <c r="IZ344" s="8"/>
    </row>
    <row r="345" spans="1:260" ht="2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  <c r="HK345" s="8"/>
      <c r="HL345" s="8"/>
      <c r="HM345" s="8"/>
      <c r="HN345" s="8"/>
      <c r="HO345" s="8"/>
      <c r="HP345" s="8"/>
      <c r="HQ345" s="8"/>
      <c r="HR345" s="8"/>
      <c r="HS345" s="8"/>
      <c r="HT345" s="8"/>
      <c r="HU345" s="8"/>
      <c r="HV345" s="8"/>
      <c r="HW345" s="8"/>
      <c r="HX345" s="8"/>
      <c r="HY345" s="8"/>
      <c r="HZ345" s="8"/>
      <c r="IA345" s="8"/>
      <c r="IB345" s="8"/>
      <c r="IC345" s="8"/>
      <c r="ID345" s="8"/>
      <c r="IE345" s="8"/>
      <c r="IF345" s="8"/>
      <c r="IG345" s="8"/>
      <c r="IH345" s="8"/>
      <c r="II345" s="8"/>
      <c r="IJ345" s="8"/>
      <c r="IK345" s="8"/>
      <c r="IL345" s="8"/>
      <c r="IM345" s="8"/>
      <c r="IN345" s="8"/>
      <c r="IO345" s="8"/>
      <c r="IP345" s="8"/>
      <c r="IQ345" s="8"/>
      <c r="IR345" s="8"/>
      <c r="IS345" s="8"/>
      <c r="IT345" s="8"/>
      <c r="IU345" s="8"/>
      <c r="IV345" s="8"/>
      <c r="IW345" s="8"/>
      <c r="IX345" s="8"/>
      <c r="IY345" s="8"/>
      <c r="IZ345" s="8"/>
    </row>
    <row r="346" spans="1:260" ht="2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  <c r="HK346" s="8"/>
      <c r="HL346" s="8"/>
      <c r="HM346" s="8"/>
      <c r="HN346" s="8"/>
      <c r="HO346" s="8"/>
      <c r="HP346" s="8"/>
      <c r="HQ346" s="8"/>
      <c r="HR346" s="8"/>
      <c r="HS346" s="8"/>
      <c r="HT346" s="8"/>
      <c r="HU346" s="8"/>
      <c r="HV346" s="8"/>
      <c r="HW346" s="8"/>
      <c r="HX346" s="8"/>
      <c r="HY346" s="8"/>
      <c r="HZ346" s="8"/>
      <c r="IA346" s="8"/>
      <c r="IB346" s="8"/>
      <c r="IC346" s="8"/>
      <c r="ID346" s="8"/>
      <c r="IE346" s="8"/>
      <c r="IF346" s="8"/>
      <c r="IG346" s="8"/>
      <c r="IH346" s="8"/>
      <c r="II346" s="8"/>
      <c r="IJ346" s="8"/>
      <c r="IK346" s="8"/>
      <c r="IL346" s="8"/>
      <c r="IM346" s="8"/>
      <c r="IN346" s="8"/>
      <c r="IO346" s="8"/>
      <c r="IP346" s="8"/>
      <c r="IQ346" s="8"/>
      <c r="IR346" s="8"/>
      <c r="IS346" s="8"/>
      <c r="IT346" s="8"/>
      <c r="IU346" s="8"/>
      <c r="IV346" s="8"/>
      <c r="IW346" s="8"/>
      <c r="IX346" s="8"/>
      <c r="IY346" s="8"/>
      <c r="IZ346" s="8"/>
    </row>
    <row r="347" spans="1:260" ht="2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  <c r="GA347" s="8"/>
      <c r="GB347" s="8"/>
      <c r="GC347" s="8"/>
      <c r="GD347" s="8"/>
      <c r="GE347" s="8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  <c r="HK347" s="8"/>
      <c r="HL347" s="8"/>
      <c r="HM347" s="8"/>
      <c r="HN347" s="8"/>
      <c r="HO347" s="8"/>
      <c r="HP347" s="8"/>
      <c r="HQ347" s="8"/>
      <c r="HR347" s="8"/>
      <c r="HS347" s="8"/>
      <c r="HT347" s="8"/>
      <c r="HU347" s="8"/>
      <c r="HV347" s="8"/>
      <c r="HW347" s="8"/>
      <c r="HX347" s="8"/>
      <c r="HY347" s="8"/>
      <c r="HZ347" s="8"/>
      <c r="IA347" s="8"/>
      <c r="IB347" s="8"/>
      <c r="IC347" s="8"/>
      <c r="ID347" s="8"/>
      <c r="IE347" s="8"/>
      <c r="IF347" s="8"/>
      <c r="IG347" s="8"/>
      <c r="IH347" s="8"/>
      <c r="II347" s="8"/>
      <c r="IJ347" s="8"/>
      <c r="IK347" s="8"/>
      <c r="IL347" s="8"/>
      <c r="IM347" s="8"/>
      <c r="IN347" s="8"/>
      <c r="IO347" s="8"/>
      <c r="IP347" s="8"/>
      <c r="IQ347" s="8"/>
      <c r="IR347" s="8"/>
      <c r="IS347" s="8"/>
      <c r="IT347" s="8"/>
      <c r="IU347" s="8"/>
      <c r="IV347" s="8"/>
      <c r="IW347" s="8"/>
      <c r="IX347" s="8"/>
      <c r="IY347" s="8"/>
      <c r="IZ347" s="8"/>
    </row>
    <row r="348" spans="1:260" ht="2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  <c r="HK348" s="8"/>
      <c r="HL348" s="8"/>
      <c r="HM348" s="8"/>
      <c r="HN348" s="8"/>
      <c r="HO348" s="8"/>
      <c r="HP348" s="8"/>
      <c r="HQ348" s="8"/>
      <c r="HR348" s="8"/>
      <c r="HS348" s="8"/>
      <c r="HT348" s="8"/>
      <c r="HU348" s="8"/>
      <c r="HV348" s="8"/>
      <c r="HW348" s="8"/>
      <c r="HX348" s="8"/>
      <c r="HY348" s="8"/>
      <c r="HZ348" s="8"/>
      <c r="IA348" s="8"/>
      <c r="IB348" s="8"/>
      <c r="IC348" s="8"/>
      <c r="ID348" s="8"/>
      <c r="IE348" s="8"/>
      <c r="IF348" s="8"/>
      <c r="IG348" s="8"/>
      <c r="IH348" s="8"/>
      <c r="II348" s="8"/>
      <c r="IJ348" s="8"/>
      <c r="IK348" s="8"/>
      <c r="IL348" s="8"/>
      <c r="IM348" s="8"/>
      <c r="IN348" s="8"/>
      <c r="IO348" s="8"/>
      <c r="IP348" s="8"/>
      <c r="IQ348" s="8"/>
      <c r="IR348" s="8"/>
      <c r="IS348" s="8"/>
      <c r="IT348" s="8"/>
      <c r="IU348" s="8"/>
      <c r="IV348" s="8"/>
      <c r="IW348" s="8"/>
      <c r="IX348" s="8"/>
      <c r="IY348" s="8"/>
      <c r="IZ348" s="8"/>
    </row>
    <row r="349" spans="1:260" ht="2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  <c r="HK349" s="8"/>
      <c r="HL349" s="8"/>
      <c r="HM349" s="8"/>
      <c r="HN349" s="8"/>
      <c r="HO349" s="8"/>
      <c r="HP349" s="8"/>
      <c r="HQ349" s="8"/>
      <c r="HR349" s="8"/>
      <c r="HS349" s="8"/>
      <c r="HT349" s="8"/>
      <c r="HU349" s="8"/>
      <c r="HV349" s="8"/>
      <c r="HW349" s="8"/>
      <c r="HX349" s="8"/>
      <c r="HY349" s="8"/>
      <c r="HZ349" s="8"/>
      <c r="IA349" s="8"/>
      <c r="IB349" s="8"/>
      <c r="IC349" s="8"/>
      <c r="ID349" s="8"/>
      <c r="IE349" s="8"/>
      <c r="IF349" s="8"/>
      <c r="IG349" s="8"/>
      <c r="IH349" s="8"/>
      <c r="II349" s="8"/>
      <c r="IJ349" s="8"/>
      <c r="IK349" s="8"/>
      <c r="IL349" s="8"/>
      <c r="IM349" s="8"/>
      <c r="IN349" s="8"/>
      <c r="IO349" s="8"/>
      <c r="IP349" s="8"/>
      <c r="IQ349" s="8"/>
      <c r="IR349" s="8"/>
      <c r="IS349" s="8"/>
      <c r="IT349" s="8"/>
      <c r="IU349" s="8"/>
      <c r="IV349" s="8"/>
      <c r="IW349" s="8"/>
      <c r="IX349" s="8"/>
      <c r="IY349" s="8"/>
      <c r="IZ349" s="8"/>
    </row>
    <row r="350" spans="1:260" ht="2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  <c r="HM350" s="8"/>
      <c r="HN350" s="8"/>
      <c r="HO350" s="8"/>
      <c r="HP350" s="8"/>
      <c r="HQ350" s="8"/>
      <c r="HR350" s="8"/>
      <c r="HS350" s="8"/>
      <c r="HT350" s="8"/>
      <c r="HU350" s="8"/>
      <c r="HV350" s="8"/>
      <c r="HW350" s="8"/>
      <c r="HX350" s="8"/>
      <c r="HY350" s="8"/>
      <c r="HZ350" s="8"/>
      <c r="IA350" s="8"/>
      <c r="IB350" s="8"/>
      <c r="IC350" s="8"/>
      <c r="ID350" s="8"/>
      <c r="IE350" s="8"/>
      <c r="IF350" s="8"/>
      <c r="IG350" s="8"/>
      <c r="IH350" s="8"/>
      <c r="II350" s="8"/>
      <c r="IJ350" s="8"/>
      <c r="IK350" s="8"/>
      <c r="IL350" s="8"/>
      <c r="IM350" s="8"/>
      <c r="IN350" s="8"/>
      <c r="IO350" s="8"/>
      <c r="IP350" s="8"/>
      <c r="IQ350" s="8"/>
      <c r="IR350" s="8"/>
      <c r="IS350" s="8"/>
      <c r="IT350" s="8"/>
      <c r="IU350" s="8"/>
      <c r="IV350" s="8"/>
      <c r="IW350" s="8"/>
      <c r="IX350" s="8"/>
      <c r="IY350" s="8"/>
      <c r="IZ350" s="8"/>
    </row>
    <row r="351" spans="1:260" ht="2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  <c r="HK351" s="8"/>
      <c r="HL351" s="8"/>
      <c r="HM351" s="8"/>
      <c r="HN351" s="8"/>
      <c r="HO351" s="8"/>
      <c r="HP351" s="8"/>
      <c r="HQ351" s="8"/>
      <c r="HR351" s="8"/>
      <c r="HS351" s="8"/>
      <c r="HT351" s="8"/>
      <c r="HU351" s="8"/>
      <c r="HV351" s="8"/>
      <c r="HW351" s="8"/>
      <c r="HX351" s="8"/>
      <c r="HY351" s="8"/>
      <c r="HZ351" s="8"/>
      <c r="IA351" s="8"/>
      <c r="IB351" s="8"/>
      <c r="IC351" s="8"/>
      <c r="ID351" s="8"/>
      <c r="IE351" s="8"/>
      <c r="IF351" s="8"/>
      <c r="IG351" s="8"/>
      <c r="IH351" s="8"/>
      <c r="II351" s="8"/>
      <c r="IJ351" s="8"/>
      <c r="IK351" s="8"/>
      <c r="IL351" s="8"/>
      <c r="IM351" s="8"/>
      <c r="IN351" s="8"/>
      <c r="IO351" s="8"/>
      <c r="IP351" s="8"/>
      <c r="IQ351" s="8"/>
      <c r="IR351" s="8"/>
      <c r="IS351" s="8"/>
      <c r="IT351" s="8"/>
      <c r="IU351" s="8"/>
      <c r="IV351" s="8"/>
      <c r="IW351" s="8"/>
      <c r="IX351" s="8"/>
      <c r="IY351" s="8"/>
      <c r="IZ351" s="8"/>
    </row>
    <row r="352" spans="1:260" ht="2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  <c r="HK352" s="8"/>
      <c r="HL352" s="8"/>
      <c r="HM352" s="8"/>
      <c r="HN352" s="8"/>
      <c r="HO352" s="8"/>
      <c r="HP352" s="8"/>
      <c r="HQ352" s="8"/>
      <c r="HR352" s="8"/>
      <c r="HS352" s="8"/>
      <c r="HT352" s="8"/>
      <c r="HU352" s="8"/>
      <c r="HV352" s="8"/>
      <c r="HW352" s="8"/>
      <c r="HX352" s="8"/>
      <c r="HY352" s="8"/>
      <c r="HZ352" s="8"/>
      <c r="IA352" s="8"/>
      <c r="IB352" s="8"/>
      <c r="IC352" s="8"/>
      <c r="ID352" s="8"/>
      <c r="IE352" s="8"/>
      <c r="IF352" s="8"/>
      <c r="IG352" s="8"/>
      <c r="IH352" s="8"/>
      <c r="II352" s="8"/>
      <c r="IJ352" s="8"/>
      <c r="IK352" s="8"/>
      <c r="IL352" s="8"/>
      <c r="IM352" s="8"/>
      <c r="IN352" s="8"/>
      <c r="IO352" s="8"/>
      <c r="IP352" s="8"/>
      <c r="IQ352" s="8"/>
      <c r="IR352" s="8"/>
      <c r="IS352" s="8"/>
      <c r="IT352" s="8"/>
      <c r="IU352" s="8"/>
      <c r="IV352" s="8"/>
      <c r="IW352" s="8"/>
      <c r="IX352" s="8"/>
      <c r="IY352" s="8"/>
      <c r="IZ352" s="8"/>
    </row>
    <row r="353" spans="1:260" ht="2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8"/>
      <c r="GD353" s="8"/>
      <c r="GE353" s="8"/>
      <c r="GF353" s="8"/>
      <c r="GG353" s="8"/>
      <c r="GH353" s="8"/>
      <c r="GI353" s="8"/>
      <c r="GJ353" s="8"/>
      <c r="GK353" s="8"/>
      <c r="GL353" s="8"/>
      <c r="GM353" s="8"/>
      <c r="GN353" s="8"/>
      <c r="GO353" s="8"/>
      <c r="GP353" s="8"/>
      <c r="GQ353" s="8"/>
      <c r="GR353" s="8"/>
      <c r="GS353" s="8"/>
      <c r="GT353" s="8"/>
      <c r="GU353" s="8"/>
      <c r="GV353" s="8"/>
      <c r="GW353" s="8"/>
      <c r="GX353" s="8"/>
      <c r="GY353" s="8"/>
      <c r="GZ353" s="8"/>
      <c r="HA353" s="8"/>
      <c r="HB353" s="8"/>
      <c r="HC353" s="8"/>
      <c r="HD353" s="8"/>
      <c r="HE353" s="8"/>
      <c r="HF353" s="8"/>
      <c r="HG353" s="8"/>
      <c r="HH353" s="8"/>
      <c r="HI353" s="8"/>
      <c r="HJ353" s="8"/>
      <c r="HK353" s="8"/>
      <c r="HL353" s="8"/>
      <c r="HM353" s="8"/>
      <c r="HN353" s="8"/>
      <c r="HO353" s="8"/>
      <c r="HP353" s="8"/>
      <c r="HQ353" s="8"/>
      <c r="HR353" s="8"/>
      <c r="HS353" s="8"/>
      <c r="HT353" s="8"/>
      <c r="HU353" s="8"/>
      <c r="HV353" s="8"/>
      <c r="HW353" s="8"/>
      <c r="HX353" s="8"/>
      <c r="HY353" s="8"/>
      <c r="HZ353" s="8"/>
      <c r="IA353" s="8"/>
      <c r="IB353" s="8"/>
      <c r="IC353" s="8"/>
      <c r="ID353" s="8"/>
      <c r="IE353" s="8"/>
      <c r="IF353" s="8"/>
      <c r="IG353" s="8"/>
      <c r="IH353" s="8"/>
      <c r="II353" s="8"/>
      <c r="IJ353" s="8"/>
      <c r="IK353" s="8"/>
      <c r="IL353" s="8"/>
      <c r="IM353" s="8"/>
      <c r="IN353" s="8"/>
      <c r="IO353" s="8"/>
      <c r="IP353" s="8"/>
      <c r="IQ353" s="8"/>
      <c r="IR353" s="8"/>
      <c r="IS353" s="8"/>
      <c r="IT353" s="8"/>
      <c r="IU353" s="8"/>
      <c r="IV353" s="8"/>
      <c r="IW353" s="8"/>
      <c r="IX353" s="8"/>
      <c r="IY353" s="8"/>
      <c r="IZ353" s="8"/>
    </row>
    <row r="354" spans="1:260" ht="2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8"/>
      <c r="GD354" s="8"/>
      <c r="GE354" s="8"/>
      <c r="GF354" s="8"/>
      <c r="GG354" s="8"/>
      <c r="GH354" s="8"/>
      <c r="GI354" s="8"/>
      <c r="GJ354" s="8"/>
      <c r="GK354" s="8"/>
      <c r="GL354" s="8"/>
      <c r="GM354" s="8"/>
      <c r="GN354" s="8"/>
      <c r="GO354" s="8"/>
      <c r="GP354" s="8"/>
      <c r="GQ354" s="8"/>
      <c r="GR354" s="8"/>
      <c r="GS354" s="8"/>
      <c r="GT354" s="8"/>
      <c r="GU354" s="8"/>
      <c r="GV354" s="8"/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  <c r="HK354" s="8"/>
      <c r="HL354" s="8"/>
      <c r="HM354" s="8"/>
      <c r="HN354" s="8"/>
      <c r="HO354" s="8"/>
      <c r="HP354" s="8"/>
      <c r="HQ354" s="8"/>
      <c r="HR354" s="8"/>
      <c r="HS354" s="8"/>
      <c r="HT354" s="8"/>
      <c r="HU354" s="8"/>
      <c r="HV354" s="8"/>
      <c r="HW354" s="8"/>
      <c r="HX354" s="8"/>
      <c r="HY354" s="8"/>
      <c r="HZ354" s="8"/>
      <c r="IA354" s="8"/>
      <c r="IB354" s="8"/>
      <c r="IC354" s="8"/>
      <c r="ID354" s="8"/>
      <c r="IE354" s="8"/>
      <c r="IF354" s="8"/>
      <c r="IG354" s="8"/>
      <c r="IH354" s="8"/>
      <c r="II354" s="8"/>
      <c r="IJ354" s="8"/>
      <c r="IK354" s="8"/>
      <c r="IL354" s="8"/>
      <c r="IM354" s="8"/>
      <c r="IN354" s="8"/>
      <c r="IO354" s="8"/>
      <c r="IP354" s="8"/>
      <c r="IQ354" s="8"/>
      <c r="IR354" s="8"/>
      <c r="IS354" s="8"/>
      <c r="IT354" s="8"/>
      <c r="IU354" s="8"/>
      <c r="IV354" s="8"/>
      <c r="IW354" s="8"/>
      <c r="IX354" s="8"/>
      <c r="IY354" s="8"/>
      <c r="IZ354" s="8"/>
    </row>
    <row r="355" spans="1:260" ht="2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  <c r="GA355" s="8"/>
      <c r="GB355" s="8"/>
      <c r="GC355" s="8"/>
      <c r="GD355" s="8"/>
      <c r="GE355" s="8"/>
      <c r="GF355" s="8"/>
      <c r="GG355" s="8"/>
      <c r="GH355" s="8"/>
      <c r="GI355" s="8"/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8"/>
      <c r="GW355" s="8"/>
      <c r="GX355" s="8"/>
      <c r="GY355" s="8"/>
      <c r="GZ355" s="8"/>
      <c r="HA355" s="8"/>
      <c r="HB355" s="8"/>
      <c r="HC355" s="8"/>
      <c r="HD355" s="8"/>
      <c r="HE355" s="8"/>
      <c r="HF355" s="8"/>
      <c r="HG355" s="8"/>
      <c r="HH355" s="8"/>
      <c r="HI355" s="8"/>
      <c r="HJ355" s="8"/>
      <c r="HK355" s="8"/>
      <c r="HL355" s="8"/>
      <c r="HM355" s="8"/>
      <c r="HN355" s="8"/>
      <c r="HO355" s="8"/>
      <c r="HP355" s="8"/>
      <c r="HQ355" s="8"/>
      <c r="HR355" s="8"/>
      <c r="HS355" s="8"/>
      <c r="HT355" s="8"/>
      <c r="HU355" s="8"/>
      <c r="HV355" s="8"/>
      <c r="HW355" s="8"/>
      <c r="HX355" s="8"/>
      <c r="HY355" s="8"/>
      <c r="HZ355" s="8"/>
      <c r="IA355" s="8"/>
      <c r="IB355" s="8"/>
      <c r="IC355" s="8"/>
      <c r="ID355" s="8"/>
      <c r="IE355" s="8"/>
      <c r="IF355" s="8"/>
      <c r="IG355" s="8"/>
      <c r="IH355" s="8"/>
      <c r="II355" s="8"/>
      <c r="IJ355" s="8"/>
      <c r="IK355" s="8"/>
      <c r="IL355" s="8"/>
      <c r="IM355" s="8"/>
      <c r="IN355" s="8"/>
      <c r="IO355" s="8"/>
      <c r="IP355" s="8"/>
      <c r="IQ355" s="8"/>
      <c r="IR355" s="8"/>
      <c r="IS355" s="8"/>
      <c r="IT355" s="8"/>
      <c r="IU355" s="8"/>
      <c r="IV355" s="8"/>
      <c r="IW355" s="8"/>
      <c r="IX355" s="8"/>
      <c r="IY355" s="8"/>
      <c r="IZ355" s="8"/>
    </row>
    <row r="356" spans="1:260" ht="2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8"/>
      <c r="GD356" s="8"/>
      <c r="GE356" s="8"/>
      <c r="GF356" s="8"/>
      <c r="GG356" s="8"/>
      <c r="GH356" s="8"/>
      <c r="GI356" s="8"/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/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  <c r="HK356" s="8"/>
      <c r="HL356" s="8"/>
      <c r="HM356" s="8"/>
      <c r="HN356" s="8"/>
      <c r="HO356" s="8"/>
      <c r="HP356" s="8"/>
      <c r="HQ356" s="8"/>
      <c r="HR356" s="8"/>
      <c r="HS356" s="8"/>
      <c r="HT356" s="8"/>
      <c r="HU356" s="8"/>
      <c r="HV356" s="8"/>
      <c r="HW356" s="8"/>
      <c r="HX356" s="8"/>
      <c r="HY356" s="8"/>
      <c r="HZ356" s="8"/>
      <c r="IA356" s="8"/>
      <c r="IB356" s="8"/>
      <c r="IC356" s="8"/>
      <c r="ID356" s="8"/>
      <c r="IE356" s="8"/>
      <c r="IF356" s="8"/>
      <c r="IG356" s="8"/>
      <c r="IH356" s="8"/>
      <c r="II356" s="8"/>
      <c r="IJ356" s="8"/>
      <c r="IK356" s="8"/>
      <c r="IL356" s="8"/>
      <c r="IM356" s="8"/>
      <c r="IN356" s="8"/>
      <c r="IO356" s="8"/>
      <c r="IP356" s="8"/>
      <c r="IQ356" s="8"/>
      <c r="IR356" s="8"/>
      <c r="IS356" s="8"/>
      <c r="IT356" s="8"/>
      <c r="IU356" s="8"/>
      <c r="IV356" s="8"/>
      <c r="IW356" s="8"/>
      <c r="IX356" s="8"/>
      <c r="IY356" s="8"/>
      <c r="IZ356" s="8"/>
    </row>
    <row r="357" spans="1:260" ht="2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  <c r="GA357" s="8"/>
      <c r="GB357" s="8"/>
      <c r="GC357" s="8"/>
      <c r="GD357" s="8"/>
      <c r="GE357" s="8"/>
      <c r="GF357" s="8"/>
      <c r="GG357" s="8"/>
      <c r="GH357" s="8"/>
      <c r="GI357" s="8"/>
      <c r="GJ357" s="8"/>
      <c r="GK357" s="8"/>
      <c r="GL357" s="8"/>
      <c r="GM357" s="8"/>
      <c r="GN357" s="8"/>
      <c r="GO357" s="8"/>
      <c r="GP357" s="8"/>
      <c r="GQ357" s="8"/>
      <c r="GR357" s="8"/>
      <c r="GS357" s="8"/>
      <c r="GT357" s="8"/>
      <c r="GU357" s="8"/>
      <c r="GV357" s="8"/>
      <c r="GW357" s="8"/>
      <c r="GX357" s="8"/>
      <c r="GY357" s="8"/>
      <c r="GZ357" s="8"/>
      <c r="HA357" s="8"/>
      <c r="HB357" s="8"/>
      <c r="HC357" s="8"/>
      <c r="HD357" s="8"/>
      <c r="HE357" s="8"/>
      <c r="HF357" s="8"/>
      <c r="HG357" s="8"/>
      <c r="HH357" s="8"/>
      <c r="HI357" s="8"/>
      <c r="HJ357" s="8"/>
      <c r="HK357" s="8"/>
      <c r="HL357" s="8"/>
      <c r="HM357" s="8"/>
      <c r="HN357" s="8"/>
      <c r="HO357" s="8"/>
      <c r="HP357" s="8"/>
      <c r="HQ357" s="8"/>
      <c r="HR357" s="8"/>
      <c r="HS357" s="8"/>
      <c r="HT357" s="8"/>
      <c r="HU357" s="8"/>
      <c r="HV357" s="8"/>
      <c r="HW357" s="8"/>
      <c r="HX357" s="8"/>
      <c r="HY357" s="8"/>
      <c r="HZ357" s="8"/>
      <c r="IA357" s="8"/>
      <c r="IB357" s="8"/>
      <c r="IC357" s="8"/>
      <c r="ID357" s="8"/>
      <c r="IE357" s="8"/>
      <c r="IF357" s="8"/>
      <c r="IG357" s="8"/>
      <c r="IH357" s="8"/>
      <c r="II357" s="8"/>
      <c r="IJ357" s="8"/>
      <c r="IK357" s="8"/>
      <c r="IL357" s="8"/>
      <c r="IM357" s="8"/>
      <c r="IN357" s="8"/>
      <c r="IO357" s="8"/>
      <c r="IP357" s="8"/>
      <c r="IQ357" s="8"/>
      <c r="IR357" s="8"/>
      <c r="IS357" s="8"/>
      <c r="IT357" s="8"/>
      <c r="IU357" s="8"/>
      <c r="IV357" s="8"/>
      <c r="IW357" s="8"/>
      <c r="IX357" s="8"/>
      <c r="IY357" s="8"/>
      <c r="IZ357" s="8"/>
    </row>
    <row r="358" spans="1:260" ht="2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  <c r="HK358" s="8"/>
      <c r="HL358" s="8"/>
      <c r="HM358" s="8"/>
      <c r="HN358" s="8"/>
      <c r="HO358" s="8"/>
      <c r="HP358" s="8"/>
      <c r="HQ358" s="8"/>
      <c r="HR358" s="8"/>
      <c r="HS358" s="8"/>
      <c r="HT358" s="8"/>
      <c r="HU358" s="8"/>
      <c r="HV358" s="8"/>
      <c r="HW358" s="8"/>
      <c r="HX358" s="8"/>
      <c r="HY358" s="8"/>
      <c r="HZ358" s="8"/>
      <c r="IA358" s="8"/>
      <c r="IB358" s="8"/>
      <c r="IC358" s="8"/>
      <c r="ID358" s="8"/>
      <c r="IE358" s="8"/>
      <c r="IF358" s="8"/>
      <c r="IG358" s="8"/>
      <c r="IH358" s="8"/>
      <c r="II358" s="8"/>
      <c r="IJ358" s="8"/>
      <c r="IK358" s="8"/>
      <c r="IL358" s="8"/>
      <c r="IM358" s="8"/>
      <c r="IN358" s="8"/>
      <c r="IO358" s="8"/>
      <c r="IP358" s="8"/>
      <c r="IQ358" s="8"/>
      <c r="IR358" s="8"/>
      <c r="IS358" s="8"/>
      <c r="IT358" s="8"/>
      <c r="IU358" s="8"/>
      <c r="IV358" s="8"/>
      <c r="IW358" s="8"/>
      <c r="IX358" s="8"/>
      <c r="IY358" s="8"/>
      <c r="IZ358" s="8"/>
    </row>
    <row r="359" spans="1:260" ht="2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/>
      <c r="HL359" s="8"/>
      <c r="HM359" s="8"/>
      <c r="HN359" s="8"/>
      <c r="HO359" s="8"/>
      <c r="HP359" s="8"/>
      <c r="HQ359" s="8"/>
      <c r="HR359" s="8"/>
      <c r="HS359" s="8"/>
      <c r="HT359" s="8"/>
      <c r="HU359" s="8"/>
      <c r="HV359" s="8"/>
      <c r="HW359" s="8"/>
      <c r="HX359" s="8"/>
      <c r="HY359" s="8"/>
      <c r="HZ359" s="8"/>
      <c r="IA359" s="8"/>
      <c r="IB359" s="8"/>
      <c r="IC359" s="8"/>
      <c r="ID359" s="8"/>
      <c r="IE359" s="8"/>
      <c r="IF359" s="8"/>
      <c r="IG359" s="8"/>
      <c r="IH359" s="8"/>
      <c r="II359" s="8"/>
      <c r="IJ359" s="8"/>
      <c r="IK359" s="8"/>
      <c r="IL359" s="8"/>
      <c r="IM359" s="8"/>
      <c r="IN359" s="8"/>
      <c r="IO359" s="8"/>
      <c r="IP359" s="8"/>
      <c r="IQ359" s="8"/>
      <c r="IR359" s="8"/>
      <c r="IS359" s="8"/>
      <c r="IT359" s="8"/>
      <c r="IU359" s="8"/>
      <c r="IV359" s="8"/>
      <c r="IW359" s="8"/>
      <c r="IX359" s="8"/>
      <c r="IY359" s="8"/>
      <c r="IZ359" s="8"/>
    </row>
    <row r="360" spans="1:260" ht="2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  <c r="HK360" s="8"/>
      <c r="HL360" s="8"/>
      <c r="HM360" s="8"/>
      <c r="HN360" s="8"/>
      <c r="HO360" s="8"/>
      <c r="HP360" s="8"/>
      <c r="HQ360" s="8"/>
      <c r="HR360" s="8"/>
      <c r="HS360" s="8"/>
      <c r="HT360" s="8"/>
      <c r="HU360" s="8"/>
      <c r="HV360" s="8"/>
      <c r="HW360" s="8"/>
      <c r="HX360" s="8"/>
      <c r="HY360" s="8"/>
      <c r="HZ360" s="8"/>
      <c r="IA360" s="8"/>
      <c r="IB360" s="8"/>
      <c r="IC360" s="8"/>
      <c r="ID360" s="8"/>
      <c r="IE360" s="8"/>
      <c r="IF360" s="8"/>
      <c r="IG360" s="8"/>
      <c r="IH360" s="8"/>
      <c r="II360" s="8"/>
      <c r="IJ360" s="8"/>
      <c r="IK360" s="8"/>
      <c r="IL360" s="8"/>
      <c r="IM360" s="8"/>
      <c r="IN360" s="8"/>
      <c r="IO360" s="8"/>
      <c r="IP360" s="8"/>
      <c r="IQ360" s="8"/>
      <c r="IR360" s="8"/>
      <c r="IS360" s="8"/>
      <c r="IT360" s="8"/>
      <c r="IU360" s="8"/>
      <c r="IV360" s="8"/>
      <c r="IW360" s="8"/>
      <c r="IX360" s="8"/>
      <c r="IY360" s="8"/>
      <c r="IZ360" s="8"/>
    </row>
    <row r="361" spans="1:260" ht="2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  <c r="HK361" s="8"/>
      <c r="HL361" s="8"/>
      <c r="HM361" s="8"/>
      <c r="HN361" s="8"/>
      <c r="HO361" s="8"/>
      <c r="HP361" s="8"/>
      <c r="HQ361" s="8"/>
      <c r="HR361" s="8"/>
      <c r="HS361" s="8"/>
      <c r="HT361" s="8"/>
      <c r="HU361" s="8"/>
      <c r="HV361" s="8"/>
      <c r="HW361" s="8"/>
      <c r="HX361" s="8"/>
      <c r="HY361" s="8"/>
      <c r="HZ361" s="8"/>
      <c r="IA361" s="8"/>
      <c r="IB361" s="8"/>
      <c r="IC361" s="8"/>
      <c r="ID361" s="8"/>
      <c r="IE361" s="8"/>
      <c r="IF361" s="8"/>
      <c r="IG361" s="8"/>
      <c r="IH361" s="8"/>
      <c r="II361" s="8"/>
      <c r="IJ361" s="8"/>
      <c r="IK361" s="8"/>
      <c r="IL361" s="8"/>
      <c r="IM361" s="8"/>
      <c r="IN361" s="8"/>
      <c r="IO361" s="8"/>
      <c r="IP361" s="8"/>
      <c r="IQ361" s="8"/>
      <c r="IR361" s="8"/>
      <c r="IS361" s="8"/>
      <c r="IT361" s="8"/>
      <c r="IU361" s="8"/>
      <c r="IV361" s="8"/>
      <c r="IW361" s="8"/>
      <c r="IX361" s="8"/>
      <c r="IY361" s="8"/>
      <c r="IZ361" s="8"/>
    </row>
    <row r="362" spans="1:260" ht="2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  <c r="HK362" s="8"/>
      <c r="HL362" s="8"/>
      <c r="HM362" s="8"/>
      <c r="HN362" s="8"/>
      <c r="HO362" s="8"/>
      <c r="HP362" s="8"/>
      <c r="HQ362" s="8"/>
      <c r="HR362" s="8"/>
      <c r="HS362" s="8"/>
      <c r="HT362" s="8"/>
      <c r="HU362" s="8"/>
      <c r="HV362" s="8"/>
      <c r="HW362" s="8"/>
      <c r="HX362" s="8"/>
      <c r="HY362" s="8"/>
      <c r="HZ362" s="8"/>
      <c r="IA362" s="8"/>
      <c r="IB362" s="8"/>
      <c r="IC362" s="8"/>
      <c r="ID362" s="8"/>
      <c r="IE362" s="8"/>
      <c r="IF362" s="8"/>
      <c r="IG362" s="8"/>
      <c r="IH362" s="8"/>
      <c r="II362" s="8"/>
      <c r="IJ362" s="8"/>
      <c r="IK362" s="8"/>
      <c r="IL362" s="8"/>
      <c r="IM362" s="8"/>
      <c r="IN362" s="8"/>
      <c r="IO362" s="8"/>
      <c r="IP362" s="8"/>
      <c r="IQ362" s="8"/>
      <c r="IR362" s="8"/>
      <c r="IS362" s="8"/>
      <c r="IT362" s="8"/>
      <c r="IU362" s="8"/>
      <c r="IV362" s="8"/>
      <c r="IW362" s="8"/>
      <c r="IX362" s="8"/>
      <c r="IY362" s="8"/>
      <c r="IZ362" s="8"/>
    </row>
    <row r="363" spans="1:260" ht="2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  <c r="GD363" s="8"/>
      <c r="GE363" s="8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  <c r="HK363" s="8"/>
      <c r="HL363" s="8"/>
      <c r="HM363" s="8"/>
      <c r="HN363" s="8"/>
      <c r="HO363" s="8"/>
      <c r="HP363" s="8"/>
      <c r="HQ363" s="8"/>
      <c r="HR363" s="8"/>
      <c r="HS363" s="8"/>
      <c r="HT363" s="8"/>
      <c r="HU363" s="8"/>
      <c r="HV363" s="8"/>
      <c r="HW363" s="8"/>
      <c r="HX363" s="8"/>
      <c r="HY363" s="8"/>
      <c r="HZ363" s="8"/>
      <c r="IA363" s="8"/>
      <c r="IB363" s="8"/>
      <c r="IC363" s="8"/>
      <c r="ID363" s="8"/>
      <c r="IE363" s="8"/>
      <c r="IF363" s="8"/>
      <c r="IG363" s="8"/>
      <c r="IH363" s="8"/>
      <c r="II363" s="8"/>
      <c r="IJ363" s="8"/>
      <c r="IK363" s="8"/>
      <c r="IL363" s="8"/>
      <c r="IM363" s="8"/>
      <c r="IN363" s="8"/>
      <c r="IO363" s="8"/>
      <c r="IP363" s="8"/>
      <c r="IQ363" s="8"/>
      <c r="IR363" s="8"/>
      <c r="IS363" s="8"/>
      <c r="IT363" s="8"/>
      <c r="IU363" s="8"/>
      <c r="IV363" s="8"/>
      <c r="IW363" s="8"/>
      <c r="IX363" s="8"/>
      <c r="IY363" s="8"/>
      <c r="IZ363" s="8"/>
    </row>
    <row r="364" spans="1:260" ht="2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  <c r="HK364" s="8"/>
      <c r="HL364" s="8"/>
      <c r="HM364" s="8"/>
      <c r="HN364" s="8"/>
      <c r="HO364" s="8"/>
      <c r="HP364" s="8"/>
      <c r="HQ364" s="8"/>
      <c r="HR364" s="8"/>
      <c r="HS364" s="8"/>
      <c r="HT364" s="8"/>
      <c r="HU364" s="8"/>
      <c r="HV364" s="8"/>
      <c r="HW364" s="8"/>
      <c r="HX364" s="8"/>
      <c r="HY364" s="8"/>
      <c r="HZ364" s="8"/>
      <c r="IA364" s="8"/>
      <c r="IB364" s="8"/>
      <c r="IC364" s="8"/>
      <c r="ID364" s="8"/>
      <c r="IE364" s="8"/>
      <c r="IF364" s="8"/>
      <c r="IG364" s="8"/>
      <c r="IH364" s="8"/>
      <c r="II364" s="8"/>
      <c r="IJ364" s="8"/>
      <c r="IK364" s="8"/>
      <c r="IL364" s="8"/>
      <c r="IM364" s="8"/>
      <c r="IN364" s="8"/>
      <c r="IO364" s="8"/>
      <c r="IP364" s="8"/>
      <c r="IQ364" s="8"/>
      <c r="IR364" s="8"/>
      <c r="IS364" s="8"/>
      <c r="IT364" s="8"/>
      <c r="IU364" s="8"/>
      <c r="IV364" s="8"/>
      <c r="IW364" s="8"/>
      <c r="IX364" s="8"/>
      <c r="IY364" s="8"/>
      <c r="IZ364" s="8"/>
    </row>
    <row r="365" spans="1:260" ht="2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  <c r="HK365" s="8"/>
      <c r="HL365" s="8"/>
      <c r="HM365" s="8"/>
      <c r="HN365" s="8"/>
      <c r="HO365" s="8"/>
      <c r="HP365" s="8"/>
      <c r="HQ365" s="8"/>
      <c r="HR365" s="8"/>
      <c r="HS365" s="8"/>
      <c r="HT365" s="8"/>
      <c r="HU365" s="8"/>
      <c r="HV365" s="8"/>
      <c r="HW365" s="8"/>
      <c r="HX365" s="8"/>
      <c r="HY365" s="8"/>
      <c r="HZ365" s="8"/>
      <c r="IA365" s="8"/>
      <c r="IB365" s="8"/>
      <c r="IC365" s="8"/>
      <c r="ID365" s="8"/>
      <c r="IE365" s="8"/>
      <c r="IF365" s="8"/>
      <c r="IG365" s="8"/>
      <c r="IH365" s="8"/>
      <c r="II365" s="8"/>
      <c r="IJ365" s="8"/>
      <c r="IK365" s="8"/>
      <c r="IL365" s="8"/>
      <c r="IM365" s="8"/>
      <c r="IN365" s="8"/>
      <c r="IO365" s="8"/>
      <c r="IP365" s="8"/>
      <c r="IQ365" s="8"/>
      <c r="IR365" s="8"/>
      <c r="IS365" s="8"/>
      <c r="IT365" s="8"/>
      <c r="IU365" s="8"/>
      <c r="IV365" s="8"/>
      <c r="IW365" s="8"/>
      <c r="IX365" s="8"/>
      <c r="IY365" s="8"/>
      <c r="IZ365" s="8"/>
    </row>
    <row r="366" spans="1:260" ht="2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  <c r="HK366" s="8"/>
      <c r="HL366" s="8"/>
      <c r="HM366" s="8"/>
      <c r="HN366" s="8"/>
      <c r="HO366" s="8"/>
      <c r="HP366" s="8"/>
      <c r="HQ366" s="8"/>
      <c r="HR366" s="8"/>
      <c r="HS366" s="8"/>
      <c r="HT366" s="8"/>
      <c r="HU366" s="8"/>
      <c r="HV366" s="8"/>
      <c r="HW366" s="8"/>
      <c r="HX366" s="8"/>
      <c r="HY366" s="8"/>
      <c r="HZ366" s="8"/>
      <c r="IA366" s="8"/>
      <c r="IB366" s="8"/>
      <c r="IC366" s="8"/>
      <c r="ID366" s="8"/>
      <c r="IE366" s="8"/>
      <c r="IF366" s="8"/>
      <c r="IG366" s="8"/>
      <c r="IH366" s="8"/>
      <c r="II366" s="8"/>
      <c r="IJ366" s="8"/>
      <c r="IK366" s="8"/>
      <c r="IL366" s="8"/>
      <c r="IM366" s="8"/>
      <c r="IN366" s="8"/>
      <c r="IO366" s="8"/>
      <c r="IP366" s="8"/>
      <c r="IQ366" s="8"/>
      <c r="IR366" s="8"/>
      <c r="IS366" s="8"/>
      <c r="IT366" s="8"/>
      <c r="IU366" s="8"/>
      <c r="IV366" s="8"/>
      <c r="IW366" s="8"/>
      <c r="IX366" s="8"/>
      <c r="IY366" s="8"/>
      <c r="IZ366" s="8"/>
    </row>
    <row r="367" spans="1:260" ht="2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  <c r="HK367" s="8"/>
      <c r="HL367" s="8"/>
      <c r="HM367" s="8"/>
      <c r="HN367" s="8"/>
      <c r="HO367" s="8"/>
      <c r="HP367" s="8"/>
      <c r="HQ367" s="8"/>
      <c r="HR367" s="8"/>
      <c r="HS367" s="8"/>
      <c r="HT367" s="8"/>
      <c r="HU367" s="8"/>
      <c r="HV367" s="8"/>
      <c r="HW367" s="8"/>
      <c r="HX367" s="8"/>
      <c r="HY367" s="8"/>
      <c r="HZ367" s="8"/>
      <c r="IA367" s="8"/>
      <c r="IB367" s="8"/>
      <c r="IC367" s="8"/>
      <c r="ID367" s="8"/>
      <c r="IE367" s="8"/>
      <c r="IF367" s="8"/>
      <c r="IG367" s="8"/>
      <c r="IH367" s="8"/>
      <c r="II367" s="8"/>
      <c r="IJ367" s="8"/>
      <c r="IK367" s="8"/>
      <c r="IL367" s="8"/>
      <c r="IM367" s="8"/>
      <c r="IN367" s="8"/>
      <c r="IO367" s="8"/>
      <c r="IP367" s="8"/>
      <c r="IQ367" s="8"/>
      <c r="IR367" s="8"/>
      <c r="IS367" s="8"/>
      <c r="IT367" s="8"/>
      <c r="IU367" s="8"/>
      <c r="IV367" s="8"/>
      <c r="IW367" s="8"/>
      <c r="IX367" s="8"/>
      <c r="IY367" s="8"/>
      <c r="IZ367" s="8"/>
    </row>
    <row r="368" spans="1:260" ht="2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  <c r="HK368" s="8"/>
      <c r="HL368" s="8"/>
      <c r="HM368" s="8"/>
      <c r="HN368" s="8"/>
      <c r="HO368" s="8"/>
      <c r="HP368" s="8"/>
      <c r="HQ368" s="8"/>
      <c r="HR368" s="8"/>
      <c r="HS368" s="8"/>
      <c r="HT368" s="8"/>
      <c r="HU368" s="8"/>
      <c r="HV368" s="8"/>
      <c r="HW368" s="8"/>
      <c r="HX368" s="8"/>
      <c r="HY368" s="8"/>
      <c r="HZ368" s="8"/>
      <c r="IA368" s="8"/>
      <c r="IB368" s="8"/>
      <c r="IC368" s="8"/>
      <c r="ID368" s="8"/>
      <c r="IE368" s="8"/>
      <c r="IF368" s="8"/>
      <c r="IG368" s="8"/>
      <c r="IH368" s="8"/>
      <c r="II368" s="8"/>
      <c r="IJ368" s="8"/>
      <c r="IK368" s="8"/>
      <c r="IL368" s="8"/>
      <c r="IM368" s="8"/>
      <c r="IN368" s="8"/>
      <c r="IO368" s="8"/>
      <c r="IP368" s="8"/>
      <c r="IQ368" s="8"/>
      <c r="IR368" s="8"/>
      <c r="IS368" s="8"/>
      <c r="IT368" s="8"/>
      <c r="IU368" s="8"/>
      <c r="IV368" s="8"/>
      <c r="IW368" s="8"/>
      <c r="IX368" s="8"/>
      <c r="IY368" s="8"/>
      <c r="IZ368" s="8"/>
    </row>
    <row r="369" spans="1:260" ht="2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  <c r="HK369" s="8"/>
      <c r="HL369" s="8"/>
      <c r="HM369" s="8"/>
      <c r="HN369" s="8"/>
      <c r="HO369" s="8"/>
      <c r="HP369" s="8"/>
      <c r="HQ369" s="8"/>
      <c r="HR369" s="8"/>
      <c r="HS369" s="8"/>
      <c r="HT369" s="8"/>
      <c r="HU369" s="8"/>
      <c r="HV369" s="8"/>
      <c r="HW369" s="8"/>
      <c r="HX369" s="8"/>
      <c r="HY369" s="8"/>
      <c r="HZ369" s="8"/>
      <c r="IA369" s="8"/>
      <c r="IB369" s="8"/>
      <c r="IC369" s="8"/>
      <c r="ID369" s="8"/>
      <c r="IE369" s="8"/>
      <c r="IF369" s="8"/>
      <c r="IG369" s="8"/>
      <c r="IH369" s="8"/>
      <c r="II369" s="8"/>
      <c r="IJ369" s="8"/>
      <c r="IK369" s="8"/>
      <c r="IL369" s="8"/>
      <c r="IM369" s="8"/>
      <c r="IN369" s="8"/>
      <c r="IO369" s="8"/>
      <c r="IP369" s="8"/>
      <c r="IQ369" s="8"/>
      <c r="IR369" s="8"/>
      <c r="IS369" s="8"/>
      <c r="IT369" s="8"/>
      <c r="IU369" s="8"/>
      <c r="IV369" s="8"/>
      <c r="IW369" s="8"/>
      <c r="IX369" s="8"/>
      <c r="IY369" s="8"/>
      <c r="IZ369" s="8"/>
    </row>
    <row r="370" spans="1:260" ht="2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8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  <c r="HK370" s="8"/>
      <c r="HL370" s="8"/>
      <c r="HM370" s="8"/>
      <c r="HN370" s="8"/>
      <c r="HO370" s="8"/>
      <c r="HP370" s="8"/>
      <c r="HQ370" s="8"/>
      <c r="HR370" s="8"/>
      <c r="HS370" s="8"/>
      <c r="HT370" s="8"/>
      <c r="HU370" s="8"/>
      <c r="HV370" s="8"/>
      <c r="HW370" s="8"/>
      <c r="HX370" s="8"/>
      <c r="HY370" s="8"/>
      <c r="HZ370" s="8"/>
      <c r="IA370" s="8"/>
      <c r="IB370" s="8"/>
      <c r="IC370" s="8"/>
      <c r="ID370" s="8"/>
      <c r="IE370" s="8"/>
      <c r="IF370" s="8"/>
      <c r="IG370" s="8"/>
      <c r="IH370" s="8"/>
      <c r="II370" s="8"/>
      <c r="IJ370" s="8"/>
      <c r="IK370" s="8"/>
      <c r="IL370" s="8"/>
      <c r="IM370" s="8"/>
      <c r="IN370" s="8"/>
      <c r="IO370" s="8"/>
      <c r="IP370" s="8"/>
      <c r="IQ370" s="8"/>
      <c r="IR370" s="8"/>
      <c r="IS370" s="8"/>
      <c r="IT370" s="8"/>
      <c r="IU370" s="8"/>
      <c r="IV370" s="8"/>
      <c r="IW370" s="8"/>
      <c r="IX370" s="8"/>
      <c r="IY370" s="8"/>
      <c r="IZ370" s="8"/>
    </row>
    <row r="371" spans="1:260" ht="2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  <c r="HK371" s="8"/>
      <c r="HL371" s="8"/>
      <c r="HM371" s="8"/>
      <c r="HN371" s="8"/>
      <c r="HO371" s="8"/>
      <c r="HP371" s="8"/>
      <c r="HQ371" s="8"/>
      <c r="HR371" s="8"/>
      <c r="HS371" s="8"/>
      <c r="HT371" s="8"/>
      <c r="HU371" s="8"/>
      <c r="HV371" s="8"/>
      <c r="HW371" s="8"/>
      <c r="HX371" s="8"/>
      <c r="HY371" s="8"/>
      <c r="HZ371" s="8"/>
      <c r="IA371" s="8"/>
      <c r="IB371" s="8"/>
      <c r="IC371" s="8"/>
      <c r="ID371" s="8"/>
      <c r="IE371" s="8"/>
      <c r="IF371" s="8"/>
      <c r="IG371" s="8"/>
      <c r="IH371" s="8"/>
      <c r="II371" s="8"/>
      <c r="IJ371" s="8"/>
      <c r="IK371" s="8"/>
      <c r="IL371" s="8"/>
      <c r="IM371" s="8"/>
      <c r="IN371" s="8"/>
      <c r="IO371" s="8"/>
      <c r="IP371" s="8"/>
      <c r="IQ371" s="8"/>
      <c r="IR371" s="8"/>
      <c r="IS371" s="8"/>
      <c r="IT371" s="8"/>
      <c r="IU371" s="8"/>
      <c r="IV371" s="8"/>
      <c r="IW371" s="8"/>
      <c r="IX371" s="8"/>
      <c r="IY371" s="8"/>
      <c r="IZ371" s="8"/>
    </row>
    <row r="372" spans="1:260" ht="2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/>
      <c r="HL372" s="8"/>
      <c r="HM372" s="8"/>
      <c r="HN372" s="8"/>
      <c r="HO372" s="8"/>
      <c r="HP372" s="8"/>
      <c r="HQ372" s="8"/>
      <c r="HR372" s="8"/>
      <c r="HS372" s="8"/>
      <c r="HT372" s="8"/>
      <c r="HU372" s="8"/>
      <c r="HV372" s="8"/>
      <c r="HW372" s="8"/>
      <c r="HX372" s="8"/>
      <c r="HY372" s="8"/>
      <c r="HZ372" s="8"/>
      <c r="IA372" s="8"/>
      <c r="IB372" s="8"/>
      <c r="IC372" s="8"/>
      <c r="ID372" s="8"/>
      <c r="IE372" s="8"/>
      <c r="IF372" s="8"/>
      <c r="IG372" s="8"/>
      <c r="IH372" s="8"/>
      <c r="II372" s="8"/>
      <c r="IJ372" s="8"/>
      <c r="IK372" s="8"/>
      <c r="IL372" s="8"/>
      <c r="IM372" s="8"/>
      <c r="IN372" s="8"/>
      <c r="IO372" s="8"/>
      <c r="IP372" s="8"/>
      <c r="IQ372" s="8"/>
      <c r="IR372" s="8"/>
      <c r="IS372" s="8"/>
      <c r="IT372" s="8"/>
      <c r="IU372" s="8"/>
      <c r="IV372" s="8"/>
      <c r="IW372" s="8"/>
      <c r="IX372" s="8"/>
      <c r="IY372" s="8"/>
      <c r="IZ372" s="8"/>
    </row>
    <row r="373" spans="1:260" ht="2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  <c r="HK373" s="8"/>
      <c r="HL373" s="8"/>
      <c r="HM373" s="8"/>
      <c r="HN373" s="8"/>
      <c r="HO373" s="8"/>
      <c r="HP373" s="8"/>
      <c r="HQ373" s="8"/>
      <c r="HR373" s="8"/>
      <c r="HS373" s="8"/>
      <c r="HT373" s="8"/>
      <c r="HU373" s="8"/>
      <c r="HV373" s="8"/>
      <c r="HW373" s="8"/>
      <c r="HX373" s="8"/>
      <c r="HY373" s="8"/>
      <c r="HZ373" s="8"/>
      <c r="IA373" s="8"/>
      <c r="IB373" s="8"/>
      <c r="IC373" s="8"/>
      <c r="ID373" s="8"/>
      <c r="IE373" s="8"/>
      <c r="IF373" s="8"/>
      <c r="IG373" s="8"/>
      <c r="IH373" s="8"/>
      <c r="II373" s="8"/>
      <c r="IJ373" s="8"/>
      <c r="IK373" s="8"/>
      <c r="IL373" s="8"/>
      <c r="IM373" s="8"/>
      <c r="IN373" s="8"/>
      <c r="IO373" s="8"/>
      <c r="IP373" s="8"/>
      <c r="IQ373" s="8"/>
      <c r="IR373" s="8"/>
      <c r="IS373" s="8"/>
      <c r="IT373" s="8"/>
      <c r="IU373" s="8"/>
      <c r="IV373" s="8"/>
      <c r="IW373" s="8"/>
      <c r="IX373" s="8"/>
      <c r="IY373" s="8"/>
      <c r="IZ373" s="8"/>
    </row>
    <row r="374" spans="1:260" ht="2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  <c r="HK374" s="8"/>
      <c r="HL374" s="8"/>
      <c r="HM374" s="8"/>
      <c r="HN374" s="8"/>
      <c r="HO374" s="8"/>
      <c r="HP374" s="8"/>
      <c r="HQ374" s="8"/>
      <c r="HR374" s="8"/>
      <c r="HS374" s="8"/>
      <c r="HT374" s="8"/>
      <c r="HU374" s="8"/>
      <c r="HV374" s="8"/>
      <c r="HW374" s="8"/>
      <c r="HX374" s="8"/>
      <c r="HY374" s="8"/>
      <c r="HZ374" s="8"/>
      <c r="IA374" s="8"/>
      <c r="IB374" s="8"/>
      <c r="IC374" s="8"/>
      <c r="ID374" s="8"/>
      <c r="IE374" s="8"/>
      <c r="IF374" s="8"/>
      <c r="IG374" s="8"/>
      <c r="IH374" s="8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S374" s="8"/>
      <c r="IT374" s="8"/>
      <c r="IU374" s="8"/>
      <c r="IV374" s="8"/>
      <c r="IW374" s="8"/>
      <c r="IX374" s="8"/>
      <c r="IY374" s="8"/>
      <c r="IZ374" s="8"/>
    </row>
    <row r="375" spans="1:260" ht="2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  <c r="HK375" s="8"/>
      <c r="HL375" s="8"/>
      <c r="HM375" s="8"/>
      <c r="HN375" s="8"/>
      <c r="HO375" s="8"/>
      <c r="HP375" s="8"/>
      <c r="HQ375" s="8"/>
      <c r="HR375" s="8"/>
      <c r="HS375" s="8"/>
      <c r="HT375" s="8"/>
      <c r="HU375" s="8"/>
      <c r="HV375" s="8"/>
      <c r="HW375" s="8"/>
      <c r="HX375" s="8"/>
      <c r="HY375" s="8"/>
      <c r="HZ375" s="8"/>
      <c r="IA375" s="8"/>
      <c r="IB375" s="8"/>
      <c r="IC375" s="8"/>
      <c r="ID375" s="8"/>
      <c r="IE375" s="8"/>
      <c r="IF375" s="8"/>
      <c r="IG375" s="8"/>
      <c r="IH375" s="8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S375" s="8"/>
      <c r="IT375" s="8"/>
      <c r="IU375" s="8"/>
      <c r="IV375" s="8"/>
      <c r="IW375" s="8"/>
      <c r="IX375" s="8"/>
      <c r="IY375" s="8"/>
      <c r="IZ375" s="8"/>
    </row>
    <row r="376" spans="1:260" ht="2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8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  <c r="HK376" s="8"/>
      <c r="HL376" s="8"/>
      <c r="HM376" s="8"/>
      <c r="HN376" s="8"/>
      <c r="HO376" s="8"/>
      <c r="HP376" s="8"/>
      <c r="HQ376" s="8"/>
      <c r="HR376" s="8"/>
      <c r="HS376" s="8"/>
      <c r="HT376" s="8"/>
      <c r="HU376" s="8"/>
      <c r="HV376" s="8"/>
      <c r="HW376" s="8"/>
      <c r="HX376" s="8"/>
      <c r="HY376" s="8"/>
      <c r="HZ376" s="8"/>
      <c r="IA376" s="8"/>
      <c r="IB376" s="8"/>
      <c r="IC376" s="8"/>
      <c r="ID376" s="8"/>
      <c r="IE376" s="8"/>
      <c r="IF376" s="8"/>
      <c r="IG376" s="8"/>
      <c r="IH376" s="8"/>
      <c r="II376" s="8"/>
      <c r="IJ376" s="8"/>
      <c r="IK376" s="8"/>
      <c r="IL376" s="8"/>
      <c r="IM376" s="8"/>
      <c r="IN376" s="8"/>
      <c r="IO376" s="8"/>
      <c r="IP376" s="8"/>
      <c r="IQ376" s="8"/>
      <c r="IR376" s="8"/>
      <c r="IS376" s="8"/>
      <c r="IT376" s="8"/>
      <c r="IU376" s="8"/>
      <c r="IV376" s="8"/>
      <c r="IW376" s="8"/>
      <c r="IX376" s="8"/>
      <c r="IY376" s="8"/>
      <c r="IZ376" s="8"/>
    </row>
    <row r="377" spans="1:260" ht="2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  <c r="HK377" s="8"/>
      <c r="HL377" s="8"/>
      <c r="HM377" s="8"/>
      <c r="HN377" s="8"/>
      <c r="HO377" s="8"/>
      <c r="HP377" s="8"/>
      <c r="HQ377" s="8"/>
      <c r="HR377" s="8"/>
      <c r="HS377" s="8"/>
      <c r="HT377" s="8"/>
      <c r="HU377" s="8"/>
      <c r="HV377" s="8"/>
      <c r="HW377" s="8"/>
      <c r="HX377" s="8"/>
      <c r="HY377" s="8"/>
      <c r="HZ377" s="8"/>
      <c r="IA377" s="8"/>
      <c r="IB377" s="8"/>
      <c r="IC377" s="8"/>
      <c r="ID377" s="8"/>
      <c r="IE377" s="8"/>
      <c r="IF377" s="8"/>
      <c r="IG377" s="8"/>
      <c r="IH377" s="8"/>
      <c r="II377" s="8"/>
      <c r="IJ377" s="8"/>
      <c r="IK377" s="8"/>
      <c r="IL377" s="8"/>
      <c r="IM377" s="8"/>
      <c r="IN377" s="8"/>
      <c r="IO377" s="8"/>
      <c r="IP377" s="8"/>
      <c r="IQ377" s="8"/>
      <c r="IR377" s="8"/>
      <c r="IS377" s="8"/>
      <c r="IT377" s="8"/>
      <c r="IU377" s="8"/>
      <c r="IV377" s="8"/>
      <c r="IW377" s="8"/>
      <c r="IX377" s="8"/>
      <c r="IY377" s="8"/>
      <c r="IZ377" s="8"/>
    </row>
    <row r="378" spans="1:260" ht="2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  <c r="HK378" s="8"/>
      <c r="HL378" s="8"/>
      <c r="HM378" s="8"/>
      <c r="HN378" s="8"/>
      <c r="HO378" s="8"/>
      <c r="HP378" s="8"/>
      <c r="HQ378" s="8"/>
      <c r="HR378" s="8"/>
      <c r="HS378" s="8"/>
      <c r="HT378" s="8"/>
      <c r="HU378" s="8"/>
      <c r="HV378" s="8"/>
      <c r="HW378" s="8"/>
      <c r="HX378" s="8"/>
      <c r="HY378" s="8"/>
      <c r="HZ378" s="8"/>
      <c r="IA378" s="8"/>
      <c r="IB378" s="8"/>
      <c r="IC378" s="8"/>
      <c r="ID378" s="8"/>
      <c r="IE378" s="8"/>
      <c r="IF378" s="8"/>
      <c r="IG378" s="8"/>
      <c r="IH378" s="8"/>
      <c r="II378" s="8"/>
      <c r="IJ378" s="8"/>
      <c r="IK378" s="8"/>
      <c r="IL378" s="8"/>
      <c r="IM378" s="8"/>
      <c r="IN378" s="8"/>
      <c r="IO378" s="8"/>
      <c r="IP378" s="8"/>
      <c r="IQ378" s="8"/>
      <c r="IR378" s="8"/>
      <c r="IS378" s="8"/>
      <c r="IT378" s="8"/>
      <c r="IU378" s="8"/>
      <c r="IV378" s="8"/>
      <c r="IW378" s="8"/>
      <c r="IX378" s="8"/>
      <c r="IY378" s="8"/>
      <c r="IZ378" s="8"/>
    </row>
    <row r="379" spans="1:260" ht="2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  <c r="HK379" s="8"/>
      <c r="HL379" s="8"/>
      <c r="HM379" s="8"/>
      <c r="HN379" s="8"/>
      <c r="HO379" s="8"/>
      <c r="HP379" s="8"/>
      <c r="HQ379" s="8"/>
      <c r="HR379" s="8"/>
      <c r="HS379" s="8"/>
      <c r="HT379" s="8"/>
      <c r="HU379" s="8"/>
      <c r="HV379" s="8"/>
      <c r="HW379" s="8"/>
      <c r="HX379" s="8"/>
      <c r="HY379" s="8"/>
      <c r="HZ379" s="8"/>
      <c r="IA379" s="8"/>
      <c r="IB379" s="8"/>
      <c r="IC379" s="8"/>
      <c r="ID379" s="8"/>
      <c r="IE379" s="8"/>
      <c r="IF379" s="8"/>
      <c r="IG379" s="8"/>
      <c r="IH379" s="8"/>
      <c r="II379" s="8"/>
      <c r="IJ379" s="8"/>
      <c r="IK379" s="8"/>
      <c r="IL379" s="8"/>
      <c r="IM379" s="8"/>
      <c r="IN379" s="8"/>
      <c r="IO379" s="8"/>
      <c r="IP379" s="8"/>
      <c r="IQ379" s="8"/>
      <c r="IR379" s="8"/>
      <c r="IS379" s="8"/>
      <c r="IT379" s="8"/>
      <c r="IU379" s="8"/>
      <c r="IV379" s="8"/>
      <c r="IW379" s="8"/>
      <c r="IX379" s="8"/>
      <c r="IY379" s="8"/>
      <c r="IZ379" s="8"/>
    </row>
    <row r="380" spans="1:260" ht="2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  <c r="HK380" s="8"/>
      <c r="HL380" s="8"/>
      <c r="HM380" s="8"/>
      <c r="HN380" s="8"/>
      <c r="HO380" s="8"/>
      <c r="HP380" s="8"/>
      <c r="HQ380" s="8"/>
      <c r="HR380" s="8"/>
      <c r="HS380" s="8"/>
      <c r="HT380" s="8"/>
      <c r="HU380" s="8"/>
      <c r="HV380" s="8"/>
      <c r="HW380" s="8"/>
      <c r="HX380" s="8"/>
      <c r="HY380" s="8"/>
      <c r="HZ380" s="8"/>
      <c r="IA380" s="8"/>
      <c r="IB380" s="8"/>
      <c r="IC380" s="8"/>
      <c r="ID380" s="8"/>
      <c r="IE380" s="8"/>
      <c r="IF380" s="8"/>
      <c r="IG380" s="8"/>
      <c r="IH380" s="8"/>
      <c r="II380" s="8"/>
      <c r="IJ380" s="8"/>
      <c r="IK380" s="8"/>
      <c r="IL380" s="8"/>
      <c r="IM380" s="8"/>
      <c r="IN380" s="8"/>
      <c r="IO380" s="8"/>
      <c r="IP380" s="8"/>
      <c r="IQ380" s="8"/>
      <c r="IR380" s="8"/>
      <c r="IS380" s="8"/>
      <c r="IT380" s="8"/>
      <c r="IU380" s="8"/>
      <c r="IV380" s="8"/>
      <c r="IW380" s="8"/>
      <c r="IX380" s="8"/>
      <c r="IY380" s="8"/>
      <c r="IZ380" s="8"/>
    </row>
    <row r="381" spans="1:260" ht="2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  <c r="HK381" s="8"/>
      <c r="HL381" s="8"/>
      <c r="HM381" s="8"/>
      <c r="HN381" s="8"/>
      <c r="HO381" s="8"/>
      <c r="HP381" s="8"/>
      <c r="HQ381" s="8"/>
      <c r="HR381" s="8"/>
      <c r="HS381" s="8"/>
      <c r="HT381" s="8"/>
      <c r="HU381" s="8"/>
      <c r="HV381" s="8"/>
      <c r="HW381" s="8"/>
      <c r="HX381" s="8"/>
      <c r="HY381" s="8"/>
      <c r="HZ381" s="8"/>
      <c r="IA381" s="8"/>
      <c r="IB381" s="8"/>
      <c r="IC381" s="8"/>
      <c r="ID381" s="8"/>
      <c r="IE381" s="8"/>
      <c r="IF381" s="8"/>
      <c r="IG381" s="8"/>
      <c r="IH381" s="8"/>
      <c r="II381" s="8"/>
      <c r="IJ381" s="8"/>
      <c r="IK381" s="8"/>
      <c r="IL381" s="8"/>
      <c r="IM381" s="8"/>
      <c r="IN381" s="8"/>
      <c r="IO381" s="8"/>
      <c r="IP381" s="8"/>
      <c r="IQ381" s="8"/>
      <c r="IR381" s="8"/>
      <c r="IS381" s="8"/>
      <c r="IT381" s="8"/>
      <c r="IU381" s="8"/>
      <c r="IV381" s="8"/>
      <c r="IW381" s="8"/>
      <c r="IX381" s="8"/>
      <c r="IY381" s="8"/>
      <c r="IZ381" s="8"/>
    </row>
    <row r="382" spans="1:260" ht="2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8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  <c r="HK382" s="8"/>
      <c r="HL382" s="8"/>
      <c r="HM382" s="8"/>
      <c r="HN382" s="8"/>
      <c r="HO382" s="8"/>
      <c r="HP382" s="8"/>
      <c r="HQ382" s="8"/>
      <c r="HR382" s="8"/>
      <c r="HS382" s="8"/>
      <c r="HT382" s="8"/>
      <c r="HU382" s="8"/>
      <c r="HV382" s="8"/>
      <c r="HW382" s="8"/>
      <c r="HX382" s="8"/>
      <c r="HY382" s="8"/>
      <c r="HZ382" s="8"/>
      <c r="IA382" s="8"/>
      <c r="IB382" s="8"/>
      <c r="IC382" s="8"/>
      <c r="ID382" s="8"/>
      <c r="IE382" s="8"/>
      <c r="IF382" s="8"/>
      <c r="IG382" s="8"/>
      <c r="IH382" s="8"/>
      <c r="II382" s="8"/>
      <c r="IJ382" s="8"/>
      <c r="IK382" s="8"/>
      <c r="IL382" s="8"/>
      <c r="IM382" s="8"/>
      <c r="IN382" s="8"/>
      <c r="IO382" s="8"/>
      <c r="IP382" s="8"/>
      <c r="IQ382" s="8"/>
      <c r="IR382" s="8"/>
      <c r="IS382" s="8"/>
      <c r="IT382" s="8"/>
      <c r="IU382" s="8"/>
      <c r="IV382" s="8"/>
      <c r="IW382" s="8"/>
      <c r="IX382" s="8"/>
      <c r="IY382" s="8"/>
      <c r="IZ382" s="8"/>
    </row>
    <row r="383" spans="1:260" ht="2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  <c r="GA383" s="8"/>
      <c r="GB383" s="8"/>
      <c r="GC383" s="8"/>
      <c r="GD383" s="8"/>
      <c r="GE383" s="8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  <c r="HK383" s="8"/>
      <c r="HL383" s="8"/>
      <c r="HM383" s="8"/>
      <c r="HN383" s="8"/>
      <c r="HO383" s="8"/>
      <c r="HP383" s="8"/>
      <c r="HQ383" s="8"/>
      <c r="HR383" s="8"/>
      <c r="HS383" s="8"/>
      <c r="HT383" s="8"/>
      <c r="HU383" s="8"/>
      <c r="HV383" s="8"/>
      <c r="HW383" s="8"/>
      <c r="HX383" s="8"/>
      <c r="HY383" s="8"/>
      <c r="HZ383" s="8"/>
      <c r="IA383" s="8"/>
      <c r="IB383" s="8"/>
      <c r="IC383" s="8"/>
      <c r="ID383" s="8"/>
      <c r="IE383" s="8"/>
      <c r="IF383" s="8"/>
      <c r="IG383" s="8"/>
      <c r="IH383" s="8"/>
      <c r="II383" s="8"/>
      <c r="IJ383" s="8"/>
      <c r="IK383" s="8"/>
      <c r="IL383" s="8"/>
      <c r="IM383" s="8"/>
      <c r="IN383" s="8"/>
      <c r="IO383" s="8"/>
      <c r="IP383" s="8"/>
      <c r="IQ383" s="8"/>
      <c r="IR383" s="8"/>
      <c r="IS383" s="8"/>
      <c r="IT383" s="8"/>
      <c r="IU383" s="8"/>
      <c r="IV383" s="8"/>
      <c r="IW383" s="8"/>
      <c r="IX383" s="8"/>
      <c r="IY383" s="8"/>
      <c r="IZ383" s="8"/>
    </row>
    <row r="384" spans="1:260" ht="2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  <c r="FU384" s="8"/>
      <c r="FV384" s="8"/>
      <c r="FW384" s="8"/>
      <c r="FX384" s="8"/>
      <c r="FY384" s="8"/>
      <c r="FZ384" s="8"/>
      <c r="GA384" s="8"/>
      <c r="GB384" s="8"/>
      <c r="GC384" s="8"/>
      <c r="GD384" s="8"/>
      <c r="GE384" s="8"/>
      <c r="GF384" s="8"/>
      <c r="GG384" s="8"/>
      <c r="GH384" s="8"/>
      <c r="GI384" s="8"/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8"/>
      <c r="GW384" s="8"/>
      <c r="GX384" s="8"/>
      <c r="GY384" s="8"/>
      <c r="GZ384" s="8"/>
      <c r="HA384" s="8"/>
      <c r="HB384" s="8"/>
      <c r="HC384" s="8"/>
      <c r="HD384" s="8"/>
      <c r="HE384" s="8"/>
      <c r="HF384" s="8"/>
      <c r="HG384" s="8"/>
      <c r="HH384" s="8"/>
      <c r="HI384" s="8"/>
      <c r="HJ384" s="8"/>
      <c r="HK384" s="8"/>
      <c r="HL384" s="8"/>
      <c r="HM384" s="8"/>
      <c r="HN384" s="8"/>
      <c r="HO384" s="8"/>
      <c r="HP384" s="8"/>
      <c r="HQ384" s="8"/>
      <c r="HR384" s="8"/>
      <c r="HS384" s="8"/>
      <c r="HT384" s="8"/>
      <c r="HU384" s="8"/>
      <c r="HV384" s="8"/>
      <c r="HW384" s="8"/>
      <c r="HX384" s="8"/>
      <c r="HY384" s="8"/>
      <c r="HZ384" s="8"/>
      <c r="IA384" s="8"/>
      <c r="IB384" s="8"/>
      <c r="IC384" s="8"/>
      <c r="ID384" s="8"/>
      <c r="IE384" s="8"/>
      <c r="IF384" s="8"/>
      <c r="IG384" s="8"/>
      <c r="IH384" s="8"/>
      <c r="II384" s="8"/>
      <c r="IJ384" s="8"/>
      <c r="IK384" s="8"/>
      <c r="IL384" s="8"/>
      <c r="IM384" s="8"/>
      <c r="IN384" s="8"/>
      <c r="IO384" s="8"/>
      <c r="IP384" s="8"/>
      <c r="IQ384" s="8"/>
      <c r="IR384" s="8"/>
      <c r="IS384" s="8"/>
      <c r="IT384" s="8"/>
      <c r="IU384" s="8"/>
      <c r="IV384" s="8"/>
      <c r="IW384" s="8"/>
      <c r="IX384" s="8"/>
      <c r="IY384" s="8"/>
      <c r="IZ384" s="8"/>
    </row>
    <row r="385" spans="1:260" ht="2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8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  <c r="HK385" s="8"/>
      <c r="HL385" s="8"/>
      <c r="HM385" s="8"/>
      <c r="HN385" s="8"/>
      <c r="HO385" s="8"/>
      <c r="HP385" s="8"/>
      <c r="HQ385" s="8"/>
      <c r="HR385" s="8"/>
      <c r="HS385" s="8"/>
      <c r="HT385" s="8"/>
      <c r="HU385" s="8"/>
      <c r="HV385" s="8"/>
      <c r="HW385" s="8"/>
      <c r="HX385" s="8"/>
      <c r="HY385" s="8"/>
      <c r="HZ385" s="8"/>
      <c r="IA385" s="8"/>
      <c r="IB385" s="8"/>
      <c r="IC385" s="8"/>
      <c r="ID385" s="8"/>
      <c r="IE385" s="8"/>
      <c r="IF385" s="8"/>
      <c r="IG385" s="8"/>
      <c r="IH385" s="8"/>
      <c r="II385" s="8"/>
      <c r="IJ385" s="8"/>
      <c r="IK385" s="8"/>
      <c r="IL385" s="8"/>
      <c r="IM385" s="8"/>
      <c r="IN385" s="8"/>
      <c r="IO385" s="8"/>
      <c r="IP385" s="8"/>
      <c r="IQ385" s="8"/>
      <c r="IR385" s="8"/>
      <c r="IS385" s="8"/>
      <c r="IT385" s="8"/>
      <c r="IU385" s="8"/>
      <c r="IV385" s="8"/>
      <c r="IW385" s="8"/>
      <c r="IX385" s="8"/>
      <c r="IY385" s="8"/>
      <c r="IZ385" s="8"/>
    </row>
    <row r="386" spans="1:260" ht="2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  <c r="FU386" s="8"/>
      <c r="FV386" s="8"/>
      <c r="FW386" s="8"/>
      <c r="FX386" s="8"/>
      <c r="FY386" s="8"/>
      <c r="FZ386" s="8"/>
      <c r="GA386" s="8"/>
      <c r="GB386" s="8"/>
      <c r="GC386" s="8"/>
      <c r="GD386" s="8"/>
      <c r="GE386" s="8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  <c r="HK386" s="8"/>
      <c r="HL386" s="8"/>
      <c r="HM386" s="8"/>
      <c r="HN386" s="8"/>
      <c r="HO386" s="8"/>
      <c r="HP386" s="8"/>
      <c r="HQ386" s="8"/>
      <c r="HR386" s="8"/>
      <c r="HS386" s="8"/>
      <c r="HT386" s="8"/>
      <c r="HU386" s="8"/>
      <c r="HV386" s="8"/>
      <c r="HW386" s="8"/>
      <c r="HX386" s="8"/>
      <c r="HY386" s="8"/>
      <c r="HZ386" s="8"/>
      <c r="IA386" s="8"/>
      <c r="IB386" s="8"/>
      <c r="IC386" s="8"/>
      <c r="ID386" s="8"/>
      <c r="IE386" s="8"/>
      <c r="IF386" s="8"/>
      <c r="IG386" s="8"/>
      <c r="IH386" s="8"/>
      <c r="II386" s="8"/>
      <c r="IJ386" s="8"/>
      <c r="IK386" s="8"/>
      <c r="IL386" s="8"/>
      <c r="IM386" s="8"/>
      <c r="IN386" s="8"/>
      <c r="IO386" s="8"/>
      <c r="IP386" s="8"/>
      <c r="IQ386" s="8"/>
      <c r="IR386" s="8"/>
      <c r="IS386" s="8"/>
      <c r="IT386" s="8"/>
      <c r="IU386" s="8"/>
      <c r="IV386" s="8"/>
      <c r="IW386" s="8"/>
      <c r="IX386" s="8"/>
      <c r="IY386" s="8"/>
      <c r="IZ386" s="8"/>
    </row>
    <row r="387" spans="1:260" ht="2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  <c r="HK387" s="8"/>
      <c r="HL387" s="8"/>
      <c r="HM387" s="8"/>
      <c r="HN387" s="8"/>
      <c r="HO387" s="8"/>
      <c r="HP387" s="8"/>
      <c r="HQ387" s="8"/>
      <c r="HR387" s="8"/>
      <c r="HS387" s="8"/>
      <c r="HT387" s="8"/>
      <c r="HU387" s="8"/>
      <c r="HV387" s="8"/>
      <c r="HW387" s="8"/>
      <c r="HX387" s="8"/>
      <c r="HY387" s="8"/>
      <c r="HZ387" s="8"/>
      <c r="IA387" s="8"/>
      <c r="IB387" s="8"/>
      <c r="IC387" s="8"/>
      <c r="ID387" s="8"/>
      <c r="IE387" s="8"/>
      <c r="IF387" s="8"/>
      <c r="IG387" s="8"/>
      <c r="IH387" s="8"/>
      <c r="II387" s="8"/>
      <c r="IJ387" s="8"/>
      <c r="IK387" s="8"/>
      <c r="IL387" s="8"/>
      <c r="IM387" s="8"/>
      <c r="IN387" s="8"/>
      <c r="IO387" s="8"/>
      <c r="IP387" s="8"/>
      <c r="IQ387" s="8"/>
      <c r="IR387" s="8"/>
      <c r="IS387" s="8"/>
      <c r="IT387" s="8"/>
      <c r="IU387" s="8"/>
      <c r="IV387" s="8"/>
      <c r="IW387" s="8"/>
      <c r="IX387" s="8"/>
      <c r="IY387" s="8"/>
      <c r="IZ387" s="8"/>
    </row>
    <row r="388" spans="1:260" ht="2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8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  <c r="HK388" s="8"/>
      <c r="HL388" s="8"/>
      <c r="HM388" s="8"/>
      <c r="HN388" s="8"/>
      <c r="HO388" s="8"/>
      <c r="HP388" s="8"/>
      <c r="HQ388" s="8"/>
      <c r="HR388" s="8"/>
      <c r="HS388" s="8"/>
      <c r="HT388" s="8"/>
      <c r="HU388" s="8"/>
      <c r="HV388" s="8"/>
      <c r="HW388" s="8"/>
      <c r="HX388" s="8"/>
      <c r="HY388" s="8"/>
      <c r="HZ388" s="8"/>
      <c r="IA388" s="8"/>
      <c r="IB388" s="8"/>
      <c r="IC388" s="8"/>
      <c r="ID388" s="8"/>
      <c r="IE388" s="8"/>
      <c r="IF388" s="8"/>
      <c r="IG388" s="8"/>
      <c r="IH388" s="8"/>
      <c r="II388" s="8"/>
      <c r="IJ388" s="8"/>
      <c r="IK388" s="8"/>
      <c r="IL388" s="8"/>
      <c r="IM388" s="8"/>
      <c r="IN388" s="8"/>
      <c r="IO388" s="8"/>
      <c r="IP388" s="8"/>
      <c r="IQ388" s="8"/>
      <c r="IR388" s="8"/>
      <c r="IS388" s="8"/>
      <c r="IT388" s="8"/>
      <c r="IU388" s="8"/>
      <c r="IV388" s="8"/>
      <c r="IW388" s="8"/>
      <c r="IX388" s="8"/>
      <c r="IY388" s="8"/>
      <c r="IZ388" s="8"/>
    </row>
    <row r="389" spans="1:260" ht="2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  <c r="GA389" s="8"/>
      <c r="GB389" s="8"/>
      <c r="GC389" s="8"/>
      <c r="GD389" s="8"/>
      <c r="GE389" s="8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  <c r="HK389" s="8"/>
      <c r="HL389" s="8"/>
      <c r="HM389" s="8"/>
      <c r="HN389" s="8"/>
      <c r="HO389" s="8"/>
      <c r="HP389" s="8"/>
      <c r="HQ389" s="8"/>
      <c r="HR389" s="8"/>
      <c r="HS389" s="8"/>
      <c r="HT389" s="8"/>
      <c r="HU389" s="8"/>
      <c r="HV389" s="8"/>
      <c r="HW389" s="8"/>
      <c r="HX389" s="8"/>
      <c r="HY389" s="8"/>
      <c r="HZ389" s="8"/>
      <c r="IA389" s="8"/>
      <c r="IB389" s="8"/>
      <c r="IC389" s="8"/>
      <c r="ID389" s="8"/>
      <c r="IE389" s="8"/>
      <c r="IF389" s="8"/>
      <c r="IG389" s="8"/>
      <c r="IH389" s="8"/>
      <c r="II389" s="8"/>
      <c r="IJ389" s="8"/>
      <c r="IK389" s="8"/>
      <c r="IL389" s="8"/>
      <c r="IM389" s="8"/>
      <c r="IN389" s="8"/>
      <c r="IO389" s="8"/>
      <c r="IP389" s="8"/>
      <c r="IQ389" s="8"/>
      <c r="IR389" s="8"/>
      <c r="IS389" s="8"/>
      <c r="IT389" s="8"/>
      <c r="IU389" s="8"/>
      <c r="IV389" s="8"/>
      <c r="IW389" s="8"/>
      <c r="IX389" s="8"/>
      <c r="IY389" s="8"/>
      <c r="IZ389" s="8"/>
    </row>
    <row r="390" spans="1:260" ht="2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  <c r="GA390" s="8"/>
      <c r="GB390" s="8"/>
      <c r="GC390" s="8"/>
      <c r="GD390" s="8"/>
      <c r="GE390" s="8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  <c r="HK390" s="8"/>
      <c r="HL390" s="8"/>
      <c r="HM390" s="8"/>
      <c r="HN390" s="8"/>
      <c r="HO390" s="8"/>
      <c r="HP390" s="8"/>
      <c r="HQ390" s="8"/>
      <c r="HR390" s="8"/>
      <c r="HS390" s="8"/>
      <c r="HT390" s="8"/>
      <c r="HU390" s="8"/>
      <c r="HV390" s="8"/>
      <c r="HW390" s="8"/>
      <c r="HX390" s="8"/>
      <c r="HY390" s="8"/>
      <c r="HZ390" s="8"/>
      <c r="IA390" s="8"/>
      <c r="IB390" s="8"/>
      <c r="IC390" s="8"/>
      <c r="ID390" s="8"/>
      <c r="IE390" s="8"/>
      <c r="IF390" s="8"/>
      <c r="IG390" s="8"/>
      <c r="IH390" s="8"/>
      <c r="II390" s="8"/>
      <c r="IJ390" s="8"/>
      <c r="IK390" s="8"/>
      <c r="IL390" s="8"/>
      <c r="IM390" s="8"/>
      <c r="IN390" s="8"/>
      <c r="IO390" s="8"/>
      <c r="IP390" s="8"/>
      <c r="IQ390" s="8"/>
      <c r="IR390" s="8"/>
      <c r="IS390" s="8"/>
      <c r="IT390" s="8"/>
      <c r="IU390" s="8"/>
      <c r="IV390" s="8"/>
      <c r="IW390" s="8"/>
      <c r="IX390" s="8"/>
      <c r="IY390" s="8"/>
      <c r="IZ390" s="8"/>
    </row>
    <row r="391" spans="1:260" ht="2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8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  <c r="HK391" s="8"/>
      <c r="HL391" s="8"/>
      <c r="HM391" s="8"/>
      <c r="HN391" s="8"/>
      <c r="HO391" s="8"/>
      <c r="HP391" s="8"/>
      <c r="HQ391" s="8"/>
      <c r="HR391" s="8"/>
      <c r="HS391" s="8"/>
      <c r="HT391" s="8"/>
      <c r="HU391" s="8"/>
      <c r="HV391" s="8"/>
      <c r="HW391" s="8"/>
      <c r="HX391" s="8"/>
      <c r="HY391" s="8"/>
      <c r="HZ391" s="8"/>
      <c r="IA391" s="8"/>
      <c r="IB391" s="8"/>
      <c r="IC391" s="8"/>
      <c r="ID391" s="8"/>
      <c r="IE391" s="8"/>
      <c r="IF391" s="8"/>
      <c r="IG391" s="8"/>
      <c r="IH391" s="8"/>
      <c r="II391" s="8"/>
      <c r="IJ391" s="8"/>
      <c r="IK391" s="8"/>
      <c r="IL391" s="8"/>
      <c r="IM391" s="8"/>
      <c r="IN391" s="8"/>
      <c r="IO391" s="8"/>
      <c r="IP391" s="8"/>
      <c r="IQ391" s="8"/>
      <c r="IR391" s="8"/>
      <c r="IS391" s="8"/>
      <c r="IT391" s="8"/>
      <c r="IU391" s="8"/>
      <c r="IV391" s="8"/>
      <c r="IW391" s="8"/>
      <c r="IX391" s="8"/>
      <c r="IY391" s="8"/>
      <c r="IZ391" s="8"/>
    </row>
    <row r="392" spans="1:260" ht="2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  <c r="GA392" s="8"/>
      <c r="GB392" s="8"/>
      <c r="GC392" s="8"/>
      <c r="GD392" s="8"/>
      <c r="GE392" s="8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  <c r="HK392" s="8"/>
      <c r="HL392" s="8"/>
      <c r="HM392" s="8"/>
      <c r="HN392" s="8"/>
      <c r="HO392" s="8"/>
      <c r="HP392" s="8"/>
      <c r="HQ392" s="8"/>
      <c r="HR392" s="8"/>
      <c r="HS392" s="8"/>
      <c r="HT392" s="8"/>
      <c r="HU392" s="8"/>
      <c r="HV392" s="8"/>
      <c r="HW392" s="8"/>
      <c r="HX392" s="8"/>
      <c r="HY392" s="8"/>
      <c r="HZ392" s="8"/>
      <c r="IA392" s="8"/>
      <c r="IB392" s="8"/>
      <c r="IC392" s="8"/>
      <c r="ID392" s="8"/>
      <c r="IE392" s="8"/>
      <c r="IF392" s="8"/>
      <c r="IG392" s="8"/>
      <c r="IH392" s="8"/>
      <c r="II392" s="8"/>
      <c r="IJ392" s="8"/>
      <c r="IK392" s="8"/>
      <c r="IL392" s="8"/>
      <c r="IM392" s="8"/>
      <c r="IN392" s="8"/>
      <c r="IO392" s="8"/>
      <c r="IP392" s="8"/>
      <c r="IQ392" s="8"/>
      <c r="IR392" s="8"/>
      <c r="IS392" s="8"/>
      <c r="IT392" s="8"/>
      <c r="IU392" s="8"/>
      <c r="IV392" s="8"/>
      <c r="IW392" s="8"/>
      <c r="IX392" s="8"/>
      <c r="IY392" s="8"/>
      <c r="IZ392" s="8"/>
    </row>
    <row r="393" spans="1:260" ht="2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  <c r="HK393" s="8"/>
      <c r="HL393" s="8"/>
      <c r="HM393" s="8"/>
      <c r="HN393" s="8"/>
      <c r="HO393" s="8"/>
      <c r="HP393" s="8"/>
      <c r="HQ393" s="8"/>
      <c r="HR393" s="8"/>
      <c r="HS393" s="8"/>
      <c r="HT393" s="8"/>
      <c r="HU393" s="8"/>
      <c r="HV393" s="8"/>
      <c r="HW393" s="8"/>
      <c r="HX393" s="8"/>
      <c r="HY393" s="8"/>
      <c r="HZ393" s="8"/>
      <c r="IA393" s="8"/>
      <c r="IB393" s="8"/>
      <c r="IC393" s="8"/>
      <c r="ID393" s="8"/>
      <c r="IE393" s="8"/>
      <c r="IF393" s="8"/>
      <c r="IG393" s="8"/>
      <c r="IH393" s="8"/>
      <c r="II393" s="8"/>
      <c r="IJ393" s="8"/>
      <c r="IK393" s="8"/>
      <c r="IL393" s="8"/>
      <c r="IM393" s="8"/>
      <c r="IN393" s="8"/>
      <c r="IO393" s="8"/>
      <c r="IP393" s="8"/>
      <c r="IQ393" s="8"/>
      <c r="IR393" s="8"/>
      <c r="IS393" s="8"/>
      <c r="IT393" s="8"/>
      <c r="IU393" s="8"/>
      <c r="IV393" s="8"/>
      <c r="IW393" s="8"/>
      <c r="IX393" s="8"/>
      <c r="IY393" s="8"/>
      <c r="IZ393" s="8"/>
    </row>
    <row r="394" spans="1:260" ht="2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8"/>
      <c r="GF394" s="8"/>
      <c r="GG394" s="8"/>
      <c r="GH394" s="8"/>
      <c r="GI394" s="8"/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/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  <c r="HK394" s="8"/>
      <c r="HL394" s="8"/>
      <c r="HM394" s="8"/>
      <c r="HN394" s="8"/>
      <c r="HO394" s="8"/>
      <c r="HP394" s="8"/>
      <c r="HQ394" s="8"/>
      <c r="HR394" s="8"/>
      <c r="HS394" s="8"/>
      <c r="HT394" s="8"/>
      <c r="HU394" s="8"/>
      <c r="HV394" s="8"/>
      <c r="HW394" s="8"/>
      <c r="HX394" s="8"/>
      <c r="HY394" s="8"/>
      <c r="HZ394" s="8"/>
      <c r="IA394" s="8"/>
      <c r="IB394" s="8"/>
      <c r="IC394" s="8"/>
      <c r="ID394" s="8"/>
      <c r="IE394" s="8"/>
      <c r="IF394" s="8"/>
      <c r="IG394" s="8"/>
      <c r="IH394" s="8"/>
      <c r="II394" s="8"/>
      <c r="IJ394" s="8"/>
      <c r="IK394" s="8"/>
      <c r="IL394" s="8"/>
      <c r="IM394" s="8"/>
      <c r="IN394" s="8"/>
      <c r="IO394" s="8"/>
      <c r="IP394" s="8"/>
      <c r="IQ394" s="8"/>
      <c r="IR394" s="8"/>
      <c r="IS394" s="8"/>
      <c r="IT394" s="8"/>
      <c r="IU394" s="8"/>
      <c r="IV394" s="8"/>
      <c r="IW394" s="8"/>
      <c r="IX394" s="8"/>
      <c r="IY394" s="8"/>
      <c r="IZ394" s="8"/>
    </row>
    <row r="395" spans="1:260" ht="2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8"/>
      <c r="GF395" s="8"/>
      <c r="GG395" s="8"/>
      <c r="GH395" s="8"/>
      <c r="GI395" s="8"/>
      <c r="GJ395" s="8"/>
      <c r="GK395" s="8"/>
      <c r="GL395" s="8"/>
      <c r="GM395" s="8"/>
      <c r="GN395" s="8"/>
      <c r="GO395" s="8"/>
      <c r="GP395" s="8"/>
      <c r="GQ395" s="8"/>
      <c r="GR395" s="8"/>
      <c r="GS395" s="8"/>
      <c r="GT395" s="8"/>
      <c r="GU395" s="8"/>
      <c r="GV395" s="8"/>
      <c r="GW395" s="8"/>
      <c r="GX395" s="8"/>
      <c r="GY395" s="8"/>
      <c r="GZ395" s="8"/>
      <c r="HA395" s="8"/>
      <c r="HB395" s="8"/>
      <c r="HC395" s="8"/>
      <c r="HD395" s="8"/>
      <c r="HE395" s="8"/>
      <c r="HF395" s="8"/>
      <c r="HG395" s="8"/>
      <c r="HH395" s="8"/>
      <c r="HI395" s="8"/>
      <c r="HJ395" s="8"/>
      <c r="HK395" s="8"/>
      <c r="HL395" s="8"/>
      <c r="HM395" s="8"/>
      <c r="HN395" s="8"/>
      <c r="HO395" s="8"/>
      <c r="HP395" s="8"/>
      <c r="HQ395" s="8"/>
      <c r="HR395" s="8"/>
      <c r="HS395" s="8"/>
      <c r="HT395" s="8"/>
      <c r="HU395" s="8"/>
      <c r="HV395" s="8"/>
      <c r="HW395" s="8"/>
      <c r="HX395" s="8"/>
      <c r="HY395" s="8"/>
      <c r="HZ395" s="8"/>
      <c r="IA395" s="8"/>
      <c r="IB395" s="8"/>
      <c r="IC395" s="8"/>
      <c r="ID395" s="8"/>
      <c r="IE395" s="8"/>
      <c r="IF395" s="8"/>
      <c r="IG395" s="8"/>
      <c r="IH395" s="8"/>
      <c r="II395" s="8"/>
      <c r="IJ395" s="8"/>
      <c r="IK395" s="8"/>
      <c r="IL395" s="8"/>
      <c r="IM395" s="8"/>
      <c r="IN395" s="8"/>
      <c r="IO395" s="8"/>
      <c r="IP395" s="8"/>
      <c r="IQ395" s="8"/>
      <c r="IR395" s="8"/>
      <c r="IS395" s="8"/>
      <c r="IT395" s="8"/>
      <c r="IU395" s="8"/>
      <c r="IV395" s="8"/>
      <c r="IW395" s="8"/>
      <c r="IX395" s="8"/>
      <c r="IY395" s="8"/>
      <c r="IZ395" s="8"/>
    </row>
    <row r="396" spans="1:260" ht="2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  <c r="FU396" s="8"/>
      <c r="FV396" s="8"/>
      <c r="FW396" s="8"/>
      <c r="FX396" s="8"/>
      <c r="FY396" s="8"/>
      <c r="FZ396" s="8"/>
      <c r="GA396" s="8"/>
      <c r="GB396" s="8"/>
      <c r="GC396" s="8"/>
      <c r="GD396" s="8"/>
      <c r="GE396" s="8"/>
      <c r="GF396" s="8"/>
      <c r="GG396" s="8"/>
      <c r="GH396" s="8"/>
      <c r="GI396" s="8"/>
      <c r="GJ396" s="8"/>
      <c r="GK396" s="8"/>
      <c r="GL396" s="8"/>
      <c r="GM396" s="8"/>
      <c r="GN396" s="8"/>
      <c r="GO396" s="8"/>
      <c r="GP396" s="8"/>
      <c r="GQ396" s="8"/>
      <c r="GR396" s="8"/>
      <c r="GS396" s="8"/>
      <c r="GT396" s="8"/>
      <c r="GU396" s="8"/>
      <c r="GV396" s="8"/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  <c r="HK396" s="8"/>
      <c r="HL396" s="8"/>
      <c r="HM396" s="8"/>
      <c r="HN396" s="8"/>
      <c r="HO396" s="8"/>
      <c r="HP396" s="8"/>
      <c r="HQ396" s="8"/>
      <c r="HR396" s="8"/>
      <c r="HS396" s="8"/>
      <c r="HT396" s="8"/>
      <c r="HU396" s="8"/>
      <c r="HV396" s="8"/>
      <c r="HW396" s="8"/>
      <c r="HX396" s="8"/>
      <c r="HY396" s="8"/>
      <c r="HZ396" s="8"/>
      <c r="IA396" s="8"/>
      <c r="IB396" s="8"/>
      <c r="IC396" s="8"/>
      <c r="ID396" s="8"/>
      <c r="IE396" s="8"/>
      <c r="IF396" s="8"/>
      <c r="IG396" s="8"/>
      <c r="IH396" s="8"/>
      <c r="II396" s="8"/>
      <c r="IJ396" s="8"/>
      <c r="IK396" s="8"/>
      <c r="IL396" s="8"/>
      <c r="IM396" s="8"/>
      <c r="IN396" s="8"/>
      <c r="IO396" s="8"/>
      <c r="IP396" s="8"/>
      <c r="IQ396" s="8"/>
      <c r="IR396" s="8"/>
      <c r="IS396" s="8"/>
      <c r="IT396" s="8"/>
      <c r="IU396" s="8"/>
      <c r="IV396" s="8"/>
      <c r="IW396" s="8"/>
      <c r="IX396" s="8"/>
      <c r="IY396" s="8"/>
      <c r="IZ396" s="8"/>
    </row>
    <row r="397" spans="1:260" ht="2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/>
      <c r="FT397" s="8"/>
      <c r="FU397" s="8"/>
      <c r="FV397" s="8"/>
      <c r="FW397" s="8"/>
      <c r="FX397" s="8"/>
      <c r="FY397" s="8"/>
      <c r="FZ397" s="8"/>
      <c r="GA397" s="8"/>
      <c r="GB397" s="8"/>
      <c r="GC397" s="8"/>
      <c r="GD397" s="8"/>
      <c r="GE397" s="8"/>
      <c r="GF397" s="8"/>
      <c r="GG397" s="8"/>
      <c r="GH397" s="8"/>
      <c r="GI397" s="8"/>
      <c r="GJ397" s="8"/>
      <c r="GK397" s="8"/>
      <c r="GL397" s="8"/>
      <c r="GM397" s="8"/>
      <c r="GN397" s="8"/>
      <c r="GO397" s="8"/>
      <c r="GP397" s="8"/>
      <c r="GQ397" s="8"/>
      <c r="GR397" s="8"/>
      <c r="GS397" s="8"/>
      <c r="GT397" s="8"/>
      <c r="GU397" s="8"/>
      <c r="GV397" s="8"/>
      <c r="GW397" s="8"/>
      <c r="GX397" s="8"/>
      <c r="GY397" s="8"/>
      <c r="GZ397" s="8"/>
      <c r="HA397" s="8"/>
      <c r="HB397" s="8"/>
      <c r="HC397" s="8"/>
      <c r="HD397" s="8"/>
      <c r="HE397" s="8"/>
      <c r="HF397" s="8"/>
      <c r="HG397" s="8"/>
      <c r="HH397" s="8"/>
      <c r="HI397" s="8"/>
      <c r="HJ397" s="8"/>
      <c r="HK397" s="8"/>
      <c r="HL397" s="8"/>
      <c r="HM397" s="8"/>
      <c r="HN397" s="8"/>
      <c r="HO397" s="8"/>
      <c r="HP397" s="8"/>
      <c r="HQ397" s="8"/>
      <c r="HR397" s="8"/>
      <c r="HS397" s="8"/>
      <c r="HT397" s="8"/>
      <c r="HU397" s="8"/>
      <c r="HV397" s="8"/>
      <c r="HW397" s="8"/>
      <c r="HX397" s="8"/>
      <c r="HY397" s="8"/>
      <c r="HZ397" s="8"/>
      <c r="IA397" s="8"/>
      <c r="IB397" s="8"/>
      <c r="IC397" s="8"/>
      <c r="ID397" s="8"/>
      <c r="IE397" s="8"/>
      <c r="IF397" s="8"/>
      <c r="IG397" s="8"/>
      <c r="IH397" s="8"/>
      <c r="II397" s="8"/>
      <c r="IJ397" s="8"/>
      <c r="IK397" s="8"/>
      <c r="IL397" s="8"/>
      <c r="IM397" s="8"/>
      <c r="IN397" s="8"/>
      <c r="IO397" s="8"/>
      <c r="IP397" s="8"/>
      <c r="IQ397" s="8"/>
      <c r="IR397" s="8"/>
      <c r="IS397" s="8"/>
      <c r="IT397" s="8"/>
      <c r="IU397" s="8"/>
      <c r="IV397" s="8"/>
      <c r="IW397" s="8"/>
      <c r="IX397" s="8"/>
      <c r="IY397" s="8"/>
      <c r="IZ397" s="8"/>
    </row>
    <row r="398" spans="1:260" ht="2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8"/>
      <c r="GF398" s="8"/>
      <c r="GG398" s="8"/>
      <c r="GH398" s="8"/>
      <c r="GI398" s="8"/>
      <c r="GJ398" s="8"/>
      <c r="GK398" s="8"/>
      <c r="GL398" s="8"/>
      <c r="GM398" s="8"/>
      <c r="GN398" s="8"/>
      <c r="GO398" s="8"/>
      <c r="GP398" s="8"/>
      <c r="GQ398" s="8"/>
      <c r="GR398" s="8"/>
      <c r="GS398" s="8"/>
      <c r="GT398" s="8"/>
      <c r="GU398" s="8"/>
      <c r="GV398" s="8"/>
      <c r="GW398" s="8"/>
      <c r="GX398" s="8"/>
      <c r="GY398" s="8"/>
      <c r="GZ398" s="8"/>
      <c r="HA398" s="8"/>
      <c r="HB398" s="8"/>
      <c r="HC398" s="8"/>
      <c r="HD398" s="8"/>
      <c r="HE398" s="8"/>
      <c r="HF398" s="8"/>
      <c r="HG398" s="8"/>
      <c r="HH398" s="8"/>
      <c r="HI398" s="8"/>
      <c r="HJ398" s="8"/>
      <c r="HK398" s="8"/>
      <c r="HL398" s="8"/>
      <c r="HM398" s="8"/>
      <c r="HN398" s="8"/>
      <c r="HO398" s="8"/>
      <c r="HP398" s="8"/>
      <c r="HQ398" s="8"/>
      <c r="HR398" s="8"/>
      <c r="HS398" s="8"/>
      <c r="HT398" s="8"/>
      <c r="HU398" s="8"/>
      <c r="HV398" s="8"/>
      <c r="HW398" s="8"/>
      <c r="HX398" s="8"/>
      <c r="HY398" s="8"/>
      <c r="HZ398" s="8"/>
      <c r="IA398" s="8"/>
      <c r="IB398" s="8"/>
      <c r="IC398" s="8"/>
      <c r="ID398" s="8"/>
      <c r="IE398" s="8"/>
      <c r="IF398" s="8"/>
      <c r="IG398" s="8"/>
      <c r="IH398" s="8"/>
      <c r="II398" s="8"/>
      <c r="IJ398" s="8"/>
      <c r="IK398" s="8"/>
      <c r="IL398" s="8"/>
      <c r="IM398" s="8"/>
      <c r="IN398" s="8"/>
      <c r="IO398" s="8"/>
      <c r="IP398" s="8"/>
      <c r="IQ398" s="8"/>
      <c r="IR398" s="8"/>
      <c r="IS398" s="8"/>
      <c r="IT398" s="8"/>
      <c r="IU398" s="8"/>
      <c r="IV398" s="8"/>
      <c r="IW398" s="8"/>
      <c r="IX398" s="8"/>
      <c r="IY398" s="8"/>
      <c r="IZ398" s="8"/>
    </row>
    <row r="399" spans="1:260" ht="2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  <c r="FU399" s="8"/>
      <c r="FV399" s="8"/>
      <c r="FW399" s="8"/>
      <c r="FX399" s="8"/>
      <c r="FY399" s="8"/>
      <c r="FZ399" s="8"/>
      <c r="GA399" s="8"/>
      <c r="GB399" s="8"/>
      <c r="GC399" s="8"/>
      <c r="GD399" s="8"/>
      <c r="GE399" s="8"/>
      <c r="GF399" s="8"/>
      <c r="GG399" s="8"/>
      <c r="GH399" s="8"/>
      <c r="GI399" s="8"/>
      <c r="GJ399" s="8"/>
      <c r="GK399" s="8"/>
      <c r="GL399" s="8"/>
      <c r="GM399" s="8"/>
      <c r="GN399" s="8"/>
      <c r="GO399" s="8"/>
      <c r="GP399" s="8"/>
      <c r="GQ399" s="8"/>
      <c r="GR399" s="8"/>
      <c r="GS399" s="8"/>
      <c r="GT399" s="8"/>
      <c r="GU399" s="8"/>
      <c r="GV399" s="8"/>
      <c r="GW399" s="8"/>
      <c r="GX399" s="8"/>
      <c r="GY399" s="8"/>
      <c r="GZ399" s="8"/>
      <c r="HA399" s="8"/>
      <c r="HB399" s="8"/>
      <c r="HC399" s="8"/>
      <c r="HD399" s="8"/>
      <c r="HE399" s="8"/>
      <c r="HF399" s="8"/>
      <c r="HG399" s="8"/>
      <c r="HH399" s="8"/>
      <c r="HI399" s="8"/>
      <c r="HJ399" s="8"/>
      <c r="HK399" s="8"/>
      <c r="HL399" s="8"/>
      <c r="HM399" s="8"/>
      <c r="HN399" s="8"/>
      <c r="HO399" s="8"/>
      <c r="HP399" s="8"/>
      <c r="HQ399" s="8"/>
      <c r="HR399" s="8"/>
      <c r="HS399" s="8"/>
      <c r="HT399" s="8"/>
      <c r="HU399" s="8"/>
      <c r="HV399" s="8"/>
      <c r="HW399" s="8"/>
      <c r="HX399" s="8"/>
      <c r="HY399" s="8"/>
      <c r="HZ399" s="8"/>
      <c r="IA399" s="8"/>
      <c r="IB399" s="8"/>
      <c r="IC399" s="8"/>
      <c r="ID399" s="8"/>
      <c r="IE399" s="8"/>
      <c r="IF399" s="8"/>
      <c r="IG399" s="8"/>
      <c r="IH399" s="8"/>
      <c r="II399" s="8"/>
      <c r="IJ399" s="8"/>
      <c r="IK399" s="8"/>
      <c r="IL399" s="8"/>
      <c r="IM399" s="8"/>
      <c r="IN399" s="8"/>
      <c r="IO399" s="8"/>
      <c r="IP399" s="8"/>
      <c r="IQ399" s="8"/>
      <c r="IR399" s="8"/>
      <c r="IS399" s="8"/>
      <c r="IT399" s="8"/>
      <c r="IU399" s="8"/>
      <c r="IV399" s="8"/>
      <c r="IW399" s="8"/>
      <c r="IX399" s="8"/>
      <c r="IY399" s="8"/>
      <c r="IZ399" s="8"/>
    </row>
    <row r="400" spans="1:260" ht="2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  <c r="GA400" s="8"/>
      <c r="GB400" s="8"/>
      <c r="GC400" s="8"/>
      <c r="GD400" s="8"/>
      <c r="GE400" s="8"/>
      <c r="GF400" s="8"/>
      <c r="GG400" s="8"/>
      <c r="GH400" s="8"/>
      <c r="GI400" s="8"/>
      <c r="GJ400" s="8"/>
      <c r="GK400" s="8"/>
      <c r="GL400" s="8"/>
      <c r="GM400" s="8"/>
      <c r="GN400" s="8"/>
      <c r="GO400" s="8"/>
      <c r="GP400" s="8"/>
      <c r="GQ400" s="8"/>
      <c r="GR400" s="8"/>
      <c r="GS400" s="8"/>
      <c r="GT400" s="8"/>
      <c r="GU400" s="8"/>
      <c r="GV400" s="8"/>
      <c r="GW400" s="8"/>
      <c r="GX400" s="8"/>
      <c r="GY400" s="8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  <c r="HK400" s="8"/>
      <c r="HL400" s="8"/>
      <c r="HM400" s="8"/>
      <c r="HN400" s="8"/>
      <c r="HO400" s="8"/>
      <c r="HP400" s="8"/>
      <c r="HQ400" s="8"/>
      <c r="HR400" s="8"/>
      <c r="HS400" s="8"/>
      <c r="HT400" s="8"/>
      <c r="HU400" s="8"/>
      <c r="HV400" s="8"/>
      <c r="HW400" s="8"/>
      <c r="HX400" s="8"/>
      <c r="HY400" s="8"/>
      <c r="HZ400" s="8"/>
      <c r="IA400" s="8"/>
      <c r="IB400" s="8"/>
      <c r="IC400" s="8"/>
      <c r="ID400" s="8"/>
      <c r="IE400" s="8"/>
      <c r="IF400" s="8"/>
      <c r="IG400" s="8"/>
      <c r="IH400" s="8"/>
      <c r="II400" s="8"/>
      <c r="IJ400" s="8"/>
      <c r="IK400" s="8"/>
      <c r="IL400" s="8"/>
      <c r="IM400" s="8"/>
      <c r="IN400" s="8"/>
      <c r="IO400" s="8"/>
      <c r="IP400" s="8"/>
      <c r="IQ400" s="8"/>
      <c r="IR400" s="8"/>
      <c r="IS400" s="8"/>
      <c r="IT400" s="8"/>
      <c r="IU400" s="8"/>
      <c r="IV400" s="8"/>
      <c r="IW400" s="8"/>
      <c r="IX400" s="8"/>
      <c r="IY400" s="8"/>
      <c r="IZ400" s="8"/>
    </row>
    <row r="401" spans="1:260" ht="2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  <c r="FU401" s="8"/>
      <c r="FV401" s="8"/>
      <c r="FW401" s="8"/>
      <c r="FX401" s="8"/>
      <c r="FY401" s="8"/>
      <c r="FZ401" s="8"/>
      <c r="GA401" s="8"/>
      <c r="GB401" s="8"/>
      <c r="GC401" s="8"/>
      <c r="GD401" s="8"/>
      <c r="GE401" s="8"/>
      <c r="GF401" s="8"/>
      <c r="GG401" s="8"/>
      <c r="GH401" s="8"/>
      <c r="GI401" s="8"/>
      <c r="GJ401" s="8"/>
      <c r="GK401" s="8"/>
      <c r="GL401" s="8"/>
      <c r="GM401" s="8"/>
      <c r="GN401" s="8"/>
      <c r="GO401" s="8"/>
      <c r="GP401" s="8"/>
      <c r="GQ401" s="8"/>
      <c r="GR401" s="8"/>
      <c r="GS401" s="8"/>
      <c r="GT401" s="8"/>
      <c r="GU401" s="8"/>
      <c r="GV401" s="8"/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  <c r="HK401" s="8"/>
      <c r="HL401" s="8"/>
      <c r="HM401" s="8"/>
      <c r="HN401" s="8"/>
      <c r="HO401" s="8"/>
      <c r="HP401" s="8"/>
      <c r="HQ401" s="8"/>
      <c r="HR401" s="8"/>
      <c r="HS401" s="8"/>
      <c r="HT401" s="8"/>
      <c r="HU401" s="8"/>
      <c r="HV401" s="8"/>
      <c r="HW401" s="8"/>
      <c r="HX401" s="8"/>
      <c r="HY401" s="8"/>
      <c r="HZ401" s="8"/>
      <c r="IA401" s="8"/>
      <c r="IB401" s="8"/>
      <c r="IC401" s="8"/>
      <c r="ID401" s="8"/>
      <c r="IE401" s="8"/>
      <c r="IF401" s="8"/>
      <c r="IG401" s="8"/>
      <c r="IH401" s="8"/>
      <c r="II401" s="8"/>
      <c r="IJ401" s="8"/>
      <c r="IK401" s="8"/>
      <c r="IL401" s="8"/>
      <c r="IM401" s="8"/>
      <c r="IN401" s="8"/>
      <c r="IO401" s="8"/>
      <c r="IP401" s="8"/>
      <c r="IQ401" s="8"/>
      <c r="IR401" s="8"/>
      <c r="IS401" s="8"/>
      <c r="IT401" s="8"/>
      <c r="IU401" s="8"/>
      <c r="IV401" s="8"/>
      <c r="IW401" s="8"/>
      <c r="IX401" s="8"/>
      <c r="IY401" s="8"/>
      <c r="IZ401" s="8"/>
    </row>
    <row r="402" spans="1:260" ht="2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8"/>
      <c r="GF402" s="8"/>
      <c r="GG402" s="8"/>
      <c r="GH402" s="8"/>
      <c r="GI402" s="8"/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/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  <c r="HK402" s="8"/>
      <c r="HL402" s="8"/>
      <c r="HM402" s="8"/>
      <c r="HN402" s="8"/>
      <c r="HO402" s="8"/>
      <c r="HP402" s="8"/>
      <c r="HQ402" s="8"/>
      <c r="HR402" s="8"/>
      <c r="HS402" s="8"/>
      <c r="HT402" s="8"/>
      <c r="HU402" s="8"/>
      <c r="HV402" s="8"/>
      <c r="HW402" s="8"/>
      <c r="HX402" s="8"/>
      <c r="HY402" s="8"/>
      <c r="HZ402" s="8"/>
      <c r="IA402" s="8"/>
      <c r="IB402" s="8"/>
      <c r="IC402" s="8"/>
      <c r="ID402" s="8"/>
      <c r="IE402" s="8"/>
      <c r="IF402" s="8"/>
      <c r="IG402" s="8"/>
      <c r="IH402" s="8"/>
      <c r="II402" s="8"/>
      <c r="IJ402" s="8"/>
      <c r="IK402" s="8"/>
      <c r="IL402" s="8"/>
      <c r="IM402" s="8"/>
      <c r="IN402" s="8"/>
      <c r="IO402" s="8"/>
      <c r="IP402" s="8"/>
      <c r="IQ402" s="8"/>
      <c r="IR402" s="8"/>
      <c r="IS402" s="8"/>
      <c r="IT402" s="8"/>
      <c r="IU402" s="8"/>
      <c r="IV402" s="8"/>
      <c r="IW402" s="8"/>
      <c r="IX402" s="8"/>
      <c r="IY402" s="8"/>
      <c r="IZ402" s="8"/>
    </row>
    <row r="403" spans="1:260" ht="2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  <c r="HK403" s="8"/>
      <c r="HL403" s="8"/>
      <c r="HM403" s="8"/>
      <c r="HN403" s="8"/>
      <c r="HO403" s="8"/>
      <c r="HP403" s="8"/>
      <c r="HQ403" s="8"/>
      <c r="HR403" s="8"/>
      <c r="HS403" s="8"/>
      <c r="HT403" s="8"/>
      <c r="HU403" s="8"/>
      <c r="HV403" s="8"/>
      <c r="HW403" s="8"/>
      <c r="HX403" s="8"/>
      <c r="HY403" s="8"/>
      <c r="HZ403" s="8"/>
      <c r="IA403" s="8"/>
      <c r="IB403" s="8"/>
      <c r="IC403" s="8"/>
      <c r="ID403" s="8"/>
      <c r="IE403" s="8"/>
      <c r="IF403" s="8"/>
      <c r="IG403" s="8"/>
      <c r="IH403" s="8"/>
      <c r="II403" s="8"/>
      <c r="IJ403" s="8"/>
      <c r="IK403" s="8"/>
      <c r="IL403" s="8"/>
      <c r="IM403" s="8"/>
      <c r="IN403" s="8"/>
      <c r="IO403" s="8"/>
      <c r="IP403" s="8"/>
      <c r="IQ403" s="8"/>
      <c r="IR403" s="8"/>
      <c r="IS403" s="8"/>
      <c r="IT403" s="8"/>
      <c r="IU403" s="8"/>
      <c r="IV403" s="8"/>
      <c r="IW403" s="8"/>
      <c r="IX403" s="8"/>
      <c r="IY403" s="8"/>
      <c r="IZ403" s="8"/>
    </row>
    <row r="404" spans="1:260" ht="2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/>
      <c r="FT404" s="8"/>
      <c r="FU404" s="8"/>
      <c r="FV404" s="8"/>
      <c r="FW404" s="8"/>
      <c r="FX404" s="8"/>
      <c r="FY404" s="8"/>
      <c r="FZ404" s="8"/>
      <c r="GA404" s="8"/>
      <c r="GB404" s="8"/>
      <c r="GC404" s="8"/>
      <c r="GD404" s="8"/>
      <c r="GE404" s="8"/>
      <c r="GF404" s="8"/>
      <c r="GG404" s="8"/>
      <c r="GH404" s="8"/>
      <c r="GI404" s="8"/>
      <c r="GJ404" s="8"/>
      <c r="GK404" s="8"/>
      <c r="GL404" s="8"/>
      <c r="GM404" s="8"/>
      <c r="GN404" s="8"/>
      <c r="GO404" s="8"/>
      <c r="GP404" s="8"/>
      <c r="GQ404" s="8"/>
      <c r="GR404" s="8"/>
      <c r="GS404" s="8"/>
      <c r="GT404" s="8"/>
      <c r="GU404" s="8"/>
      <c r="GV404" s="8"/>
      <c r="GW404" s="8"/>
      <c r="GX404" s="8"/>
      <c r="GY404" s="8"/>
      <c r="GZ404" s="8"/>
      <c r="HA404" s="8"/>
      <c r="HB404" s="8"/>
      <c r="HC404" s="8"/>
      <c r="HD404" s="8"/>
      <c r="HE404" s="8"/>
      <c r="HF404" s="8"/>
      <c r="HG404" s="8"/>
      <c r="HH404" s="8"/>
      <c r="HI404" s="8"/>
      <c r="HJ404" s="8"/>
      <c r="HK404" s="8"/>
      <c r="HL404" s="8"/>
      <c r="HM404" s="8"/>
      <c r="HN404" s="8"/>
      <c r="HO404" s="8"/>
      <c r="HP404" s="8"/>
      <c r="HQ404" s="8"/>
      <c r="HR404" s="8"/>
      <c r="HS404" s="8"/>
      <c r="HT404" s="8"/>
      <c r="HU404" s="8"/>
      <c r="HV404" s="8"/>
      <c r="HW404" s="8"/>
      <c r="HX404" s="8"/>
      <c r="HY404" s="8"/>
      <c r="HZ404" s="8"/>
      <c r="IA404" s="8"/>
      <c r="IB404" s="8"/>
      <c r="IC404" s="8"/>
      <c r="ID404" s="8"/>
      <c r="IE404" s="8"/>
      <c r="IF404" s="8"/>
      <c r="IG404" s="8"/>
      <c r="IH404" s="8"/>
      <c r="II404" s="8"/>
      <c r="IJ404" s="8"/>
      <c r="IK404" s="8"/>
      <c r="IL404" s="8"/>
      <c r="IM404" s="8"/>
      <c r="IN404" s="8"/>
      <c r="IO404" s="8"/>
      <c r="IP404" s="8"/>
      <c r="IQ404" s="8"/>
      <c r="IR404" s="8"/>
      <c r="IS404" s="8"/>
      <c r="IT404" s="8"/>
      <c r="IU404" s="8"/>
      <c r="IV404" s="8"/>
      <c r="IW404" s="8"/>
      <c r="IX404" s="8"/>
      <c r="IY404" s="8"/>
      <c r="IZ404" s="8"/>
    </row>
    <row r="405" spans="1:260" ht="2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8"/>
      <c r="GF405" s="8"/>
      <c r="GG405" s="8"/>
      <c r="GH405" s="8"/>
      <c r="GI405" s="8"/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/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  <c r="HK405" s="8"/>
      <c r="HL405" s="8"/>
      <c r="HM405" s="8"/>
      <c r="HN405" s="8"/>
      <c r="HO405" s="8"/>
      <c r="HP405" s="8"/>
      <c r="HQ405" s="8"/>
      <c r="HR405" s="8"/>
      <c r="HS405" s="8"/>
      <c r="HT405" s="8"/>
      <c r="HU405" s="8"/>
      <c r="HV405" s="8"/>
      <c r="HW405" s="8"/>
      <c r="HX405" s="8"/>
      <c r="HY405" s="8"/>
      <c r="HZ405" s="8"/>
      <c r="IA405" s="8"/>
      <c r="IB405" s="8"/>
      <c r="IC405" s="8"/>
      <c r="ID405" s="8"/>
      <c r="IE405" s="8"/>
      <c r="IF405" s="8"/>
      <c r="IG405" s="8"/>
      <c r="IH405" s="8"/>
      <c r="II405" s="8"/>
      <c r="IJ405" s="8"/>
      <c r="IK405" s="8"/>
      <c r="IL405" s="8"/>
      <c r="IM405" s="8"/>
      <c r="IN405" s="8"/>
      <c r="IO405" s="8"/>
      <c r="IP405" s="8"/>
      <c r="IQ405" s="8"/>
      <c r="IR405" s="8"/>
      <c r="IS405" s="8"/>
      <c r="IT405" s="8"/>
      <c r="IU405" s="8"/>
      <c r="IV405" s="8"/>
      <c r="IW405" s="8"/>
      <c r="IX405" s="8"/>
      <c r="IY405" s="8"/>
      <c r="IZ405" s="8"/>
    </row>
    <row r="406" spans="1:260" ht="2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  <c r="GA406" s="8"/>
      <c r="GB406" s="8"/>
      <c r="GC406" s="8"/>
      <c r="GD406" s="8"/>
      <c r="GE406" s="8"/>
      <c r="GF406" s="8"/>
      <c r="GG406" s="8"/>
      <c r="GH406" s="8"/>
      <c r="GI406" s="8"/>
      <c r="GJ406" s="8"/>
      <c r="GK406" s="8"/>
      <c r="GL406" s="8"/>
      <c r="GM406" s="8"/>
      <c r="GN406" s="8"/>
      <c r="GO406" s="8"/>
      <c r="GP406" s="8"/>
      <c r="GQ406" s="8"/>
      <c r="GR406" s="8"/>
      <c r="GS406" s="8"/>
      <c r="GT406" s="8"/>
      <c r="GU406" s="8"/>
      <c r="GV406" s="8"/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  <c r="HK406" s="8"/>
      <c r="HL406" s="8"/>
      <c r="HM406" s="8"/>
      <c r="HN406" s="8"/>
      <c r="HO406" s="8"/>
      <c r="HP406" s="8"/>
      <c r="HQ406" s="8"/>
      <c r="HR406" s="8"/>
      <c r="HS406" s="8"/>
      <c r="HT406" s="8"/>
      <c r="HU406" s="8"/>
      <c r="HV406" s="8"/>
      <c r="HW406" s="8"/>
      <c r="HX406" s="8"/>
      <c r="HY406" s="8"/>
      <c r="HZ406" s="8"/>
      <c r="IA406" s="8"/>
      <c r="IB406" s="8"/>
      <c r="IC406" s="8"/>
      <c r="ID406" s="8"/>
      <c r="IE406" s="8"/>
      <c r="IF406" s="8"/>
      <c r="IG406" s="8"/>
      <c r="IH406" s="8"/>
      <c r="II406" s="8"/>
      <c r="IJ406" s="8"/>
      <c r="IK406" s="8"/>
      <c r="IL406" s="8"/>
      <c r="IM406" s="8"/>
      <c r="IN406" s="8"/>
      <c r="IO406" s="8"/>
      <c r="IP406" s="8"/>
      <c r="IQ406" s="8"/>
      <c r="IR406" s="8"/>
      <c r="IS406" s="8"/>
      <c r="IT406" s="8"/>
      <c r="IU406" s="8"/>
      <c r="IV406" s="8"/>
      <c r="IW406" s="8"/>
      <c r="IX406" s="8"/>
      <c r="IY406" s="8"/>
      <c r="IZ406" s="8"/>
    </row>
    <row r="407" spans="1:260" ht="2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  <c r="HK407" s="8"/>
      <c r="HL407" s="8"/>
      <c r="HM407" s="8"/>
      <c r="HN407" s="8"/>
      <c r="HO407" s="8"/>
      <c r="HP407" s="8"/>
      <c r="HQ407" s="8"/>
      <c r="HR407" s="8"/>
      <c r="HS407" s="8"/>
      <c r="HT407" s="8"/>
      <c r="HU407" s="8"/>
      <c r="HV407" s="8"/>
      <c r="HW407" s="8"/>
      <c r="HX407" s="8"/>
      <c r="HY407" s="8"/>
      <c r="HZ407" s="8"/>
      <c r="IA407" s="8"/>
      <c r="IB407" s="8"/>
      <c r="IC407" s="8"/>
      <c r="ID407" s="8"/>
      <c r="IE407" s="8"/>
      <c r="IF407" s="8"/>
      <c r="IG407" s="8"/>
      <c r="IH407" s="8"/>
      <c r="II407" s="8"/>
      <c r="IJ407" s="8"/>
      <c r="IK407" s="8"/>
      <c r="IL407" s="8"/>
      <c r="IM407" s="8"/>
      <c r="IN407" s="8"/>
      <c r="IO407" s="8"/>
      <c r="IP407" s="8"/>
      <c r="IQ407" s="8"/>
      <c r="IR407" s="8"/>
      <c r="IS407" s="8"/>
      <c r="IT407" s="8"/>
      <c r="IU407" s="8"/>
      <c r="IV407" s="8"/>
      <c r="IW407" s="8"/>
      <c r="IX407" s="8"/>
      <c r="IY407" s="8"/>
      <c r="IZ407" s="8"/>
    </row>
    <row r="408" spans="1:260" ht="2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8"/>
      <c r="GF408" s="8"/>
      <c r="GG408" s="8"/>
      <c r="GH408" s="8"/>
      <c r="GI408" s="8"/>
      <c r="GJ408" s="8"/>
      <c r="GK408" s="8"/>
      <c r="GL408" s="8"/>
      <c r="GM408" s="8"/>
      <c r="GN408" s="8"/>
      <c r="GO408" s="8"/>
      <c r="GP408" s="8"/>
      <c r="GQ408" s="8"/>
      <c r="GR408" s="8"/>
      <c r="GS408" s="8"/>
      <c r="GT408" s="8"/>
      <c r="GU408" s="8"/>
      <c r="GV408" s="8"/>
      <c r="GW408" s="8"/>
      <c r="GX408" s="8"/>
      <c r="GY408" s="8"/>
      <c r="GZ408" s="8"/>
      <c r="HA408" s="8"/>
      <c r="HB408" s="8"/>
      <c r="HC408" s="8"/>
      <c r="HD408" s="8"/>
      <c r="HE408" s="8"/>
      <c r="HF408" s="8"/>
      <c r="HG408" s="8"/>
      <c r="HH408" s="8"/>
      <c r="HI408" s="8"/>
      <c r="HJ408" s="8"/>
      <c r="HK408" s="8"/>
      <c r="HL408" s="8"/>
      <c r="HM408" s="8"/>
      <c r="HN408" s="8"/>
      <c r="HO408" s="8"/>
      <c r="HP408" s="8"/>
      <c r="HQ408" s="8"/>
      <c r="HR408" s="8"/>
      <c r="HS408" s="8"/>
      <c r="HT408" s="8"/>
      <c r="HU408" s="8"/>
      <c r="HV408" s="8"/>
      <c r="HW408" s="8"/>
      <c r="HX408" s="8"/>
      <c r="HY408" s="8"/>
      <c r="HZ408" s="8"/>
      <c r="IA408" s="8"/>
      <c r="IB408" s="8"/>
      <c r="IC408" s="8"/>
      <c r="ID408" s="8"/>
      <c r="IE408" s="8"/>
      <c r="IF408" s="8"/>
      <c r="IG408" s="8"/>
      <c r="IH408" s="8"/>
      <c r="II408" s="8"/>
      <c r="IJ408" s="8"/>
      <c r="IK408" s="8"/>
      <c r="IL408" s="8"/>
      <c r="IM408" s="8"/>
      <c r="IN408" s="8"/>
      <c r="IO408" s="8"/>
      <c r="IP408" s="8"/>
      <c r="IQ408" s="8"/>
      <c r="IR408" s="8"/>
      <c r="IS408" s="8"/>
      <c r="IT408" s="8"/>
      <c r="IU408" s="8"/>
      <c r="IV408" s="8"/>
      <c r="IW408" s="8"/>
      <c r="IX408" s="8"/>
      <c r="IY408" s="8"/>
      <c r="IZ408" s="8"/>
    </row>
    <row r="409" spans="1:260" ht="2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8"/>
      <c r="GF409" s="8"/>
      <c r="GG409" s="8"/>
      <c r="GH409" s="8"/>
      <c r="GI409" s="8"/>
      <c r="GJ409" s="8"/>
      <c r="GK409" s="8"/>
      <c r="GL409" s="8"/>
      <c r="GM409" s="8"/>
      <c r="GN409" s="8"/>
      <c r="GO409" s="8"/>
      <c r="GP409" s="8"/>
      <c r="GQ409" s="8"/>
      <c r="GR409" s="8"/>
      <c r="GS409" s="8"/>
      <c r="GT409" s="8"/>
      <c r="GU409" s="8"/>
      <c r="GV409" s="8"/>
      <c r="GW409" s="8"/>
      <c r="GX409" s="8"/>
      <c r="GY409" s="8"/>
      <c r="GZ409" s="8"/>
      <c r="HA409" s="8"/>
      <c r="HB409" s="8"/>
      <c r="HC409" s="8"/>
      <c r="HD409" s="8"/>
      <c r="HE409" s="8"/>
      <c r="HF409" s="8"/>
      <c r="HG409" s="8"/>
      <c r="HH409" s="8"/>
      <c r="HI409" s="8"/>
      <c r="HJ409" s="8"/>
      <c r="HK409" s="8"/>
      <c r="HL409" s="8"/>
      <c r="HM409" s="8"/>
      <c r="HN409" s="8"/>
      <c r="HO409" s="8"/>
      <c r="HP409" s="8"/>
      <c r="HQ409" s="8"/>
      <c r="HR409" s="8"/>
      <c r="HS409" s="8"/>
      <c r="HT409" s="8"/>
      <c r="HU409" s="8"/>
      <c r="HV409" s="8"/>
      <c r="HW409" s="8"/>
      <c r="HX409" s="8"/>
      <c r="HY409" s="8"/>
      <c r="HZ409" s="8"/>
      <c r="IA409" s="8"/>
      <c r="IB409" s="8"/>
      <c r="IC409" s="8"/>
      <c r="ID409" s="8"/>
      <c r="IE409" s="8"/>
      <c r="IF409" s="8"/>
      <c r="IG409" s="8"/>
      <c r="IH409" s="8"/>
      <c r="II409" s="8"/>
      <c r="IJ409" s="8"/>
      <c r="IK409" s="8"/>
      <c r="IL409" s="8"/>
      <c r="IM409" s="8"/>
      <c r="IN409" s="8"/>
      <c r="IO409" s="8"/>
      <c r="IP409" s="8"/>
      <c r="IQ409" s="8"/>
      <c r="IR409" s="8"/>
      <c r="IS409" s="8"/>
      <c r="IT409" s="8"/>
      <c r="IU409" s="8"/>
      <c r="IV409" s="8"/>
      <c r="IW409" s="8"/>
      <c r="IX409" s="8"/>
      <c r="IY409" s="8"/>
      <c r="IZ409" s="8"/>
    </row>
    <row r="410" spans="1:260" ht="2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8"/>
      <c r="GF410" s="8"/>
      <c r="GG410" s="8"/>
      <c r="GH410" s="8"/>
      <c r="GI410" s="8"/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/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  <c r="HK410" s="8"/>
      <c r="HL410" s="8"/>
      <c r="HM410" s="8"/>
      <c r="HN410" s="8"/>
      <c r="HO410" s="8"/>
      <c r="HP410" s="8"/>
      <c r="HQ410" s="8"/>
      <c r="HR410" s="8"/>
      <c r="HS410" s="8"/>
      <c r="HT410" s="8"/>
      <c r="HU410" s="8"/>
      <c r="HV410" s="8"/>
      <c r="HW410" s="8"/>
      <c r="HX410" s="8"/>
      <c r="HY410" s="8"/>
      <c r="HZ410" s="8"/>
      <c r="IA410" s="8"/>
      <c r="IB410" s="8"/>
      <c r="IC410" s="8"/>
      <c r="ID410" s="8"/>
      <c r="IE410" s="8"/>
      <c r="IF410" s="8"/>
      <c r="IG410" s="8"/>
      <c r="IH410" s="8"/>
      <c r="II410" s="8"/>
      <c r="IJ410" s="8"/>
      <c r="IK410" s="8"/>
      <c r="IL410" s="8"/>
      <c r="IM410" s="8"/>
      <c r="IN410" s="8"/>
      <c r="IO410" s="8"/>
      <c r="IP410" s="8"/>
      <c r="IQ410" s="8"/>
      <c r="IR410" s="8"/>
      <c r="IS410" s="8"/>
      <c r="IT410" s="8"/>
      <c r="IU410" s="8"/>
      <c r="IV410" s="8"/>
      <c r="IW410" s="8"/>
      <c r="IX410" s="8"/>
      <c r="IY410" s="8"/>
      <c r="IZ410" s="8"/>
    </row>
    <row r="411" spans="1:260" ht="2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  <c r="FU411" s="8"/>
      <c r="FV411" s="8"/>
      <c r="FW411" s="8"/>
      <c r="FX411" s="8"/>
      <c r="FY411" s="8"/>
      <c r="FZ411" s="8"/>
      <c r="GA411" s="8"/>
      <c r="GB411" s="8"/>
      <c r="GC411" s="8"/>
      <c r="GD411" s="8"/>
      <c r="GE411" s="8"/>
      <c r="GF411" s="8"/>
      <c r="GG411" s="8"/>
      <c r="GH411" s="8"/>
      <c r="GI411" s="8"/>
      <c r="GJ411" s="8"/>
      <c r="GK411" s="8"/>
      <c r="GL411" s="8"/>
      <c r="GM411" s="8"/>
      <c r="GN411" s="8"/>
      <c r="GO411" s="8"/>
      <c r="GP411" s="8"/>
      <c r="GQ411" s="8"/>
      <c r="GR411" s="8"/>
      <c r="GS411" s="8"/>
      <c r="GT411" s="8"/>
      <c r="GU411" s="8"/>
      <c r="GV411" s="8"/>
      <c r="GW411" s="8"/>
      <c r="GX411" s="8"/>
      <c r="GY411" s="8"/>
      <c r="GZ411" s="8"/>
      <c r="HA411" s="8"/>
      <c r="HB411" s="8"/>
      <c r="HC411" s="8"/>
      <c r="HD411" s="8"/>
      <c r="HE411" s="8"/>
      <c r="HF411" s="8"/>
      <c r="HG411" s="8"/>
      <c r="HH411" s="8"/>
      <c r="HI411" s="8"/>
      <c r="HJ411" s="8"/>
      <c r="HK411" s="8"/>
      <c r="HL411" s="8"/>
      <c r="HM411" s="8"/>
      <c r="HN411" s="8"/>
      <c r="HO411" s="8"/>
      <c r="HP411" s="8"/>
      <c r="HQ411" s="8"/>
      <c r="HR411" s="8"/>
      <c r="HS411" s="8"/>
      <c r="HT411" s="8"/>
      <c r="HU411" s="8"/>
      <c r="HV411" s="8"/>
      <c r="HW411" s="8"/>
      <c r="HX411" s="8"/>
      <c r="HY411" s="8"/>
      <c r="HZ411" s="8"/>
      <c r="IA411" s="8"/>
      <c r="IB411" s="8"/>
      <c r="IC411" s="8"/>
      <c r="ID411" s="8"/>
      <c r="IE411" s="8"/>
      <c r="IF411" s="8"/>
      <c r="IG411" s="8"/>
      <c r="IH411" s="8"/>
      <c r="II411" s="8"/>
      <c r="IJ411" s="8"/>
      <c r="IK411" s="8"/>
      <c r="IL411" s="8"/>
      <c r="IM411" s="8"/>
      <c r="IN411" s="8"/>
      <c r="IO411" s="8"/>
      <c r="IP411" s="8"/>
      <c r="IQ411" s="8"/>
      <c r="IR411" s="8"/>
      <c r="IS411" s="8"/>
      <c r="IT411" s="8"/>
      <c r="IU411" s="8"/>
      <c r="IV411" s="8"/>
      <c r="IW411" s="8"/>
      <c r="IX411" s="8"/>
      <c r="IY411" s="8"/>
      <c r="IZ411" s="8"/>
    </row>
    <row r="412" spans="1:260" ht="2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8"/>
      <c r="GF412" s="8"/>
      <c r="GG412" s="8"/>
      <c r="GH412" s="8"/>
      <c r="GI412" s="8"/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8"/>
      <c r="GW412" s="8"/>
      <c r="GX412" s="8"/>
      <c r="GY412" s="8"/>
      <c r="GZ412" s="8"/>
      <c r="HA412" s="8"/>
      <c r="HB412" s="8"/>
      <c r="HC412" s="8"/>
      <c r="HD412" s="8"/>
      <c r="HE412" s="8"/>
      <c r="HF412" s="8"/>
      <c r="HG412" s="8"/>
      <c r="HH412" s="8"/>
      <c r="HI412" s="8"/>
      <c r="HJ412" s="8"/>
      <c r="HK412" s="8"/>
      <c r="HL412" s="8"/>
      <c r="HM412" s="8"/>
      <c r="HN412" s="8"/>
      <c r="HO412" s="8"/>
      <c r="HP412" s="8"/>
      <c r="HQ412" s="8"/>
      <c r="HR412" s="8"/>
      <c r="HS412" s="8"/>
      <c r="HT412" s="8"/>
      <c r="HU412" s="8"/>
      <c r="HV412" s="8"/>
      <c r="HW412" s="8"/>
      <c r="HX412" s="8"/>
      <c r="HY412" s="8"/>
      <c r="HZ412" s="8"/>
      <c r="IA412" s="8"/>
      <c r="IB412" s="8"/>
      <c r="IC412" s="8"/>
      <c r="ID412" s="8"/>
      <c r="IE412" s="8"/>
      <c r="IF412" s="8"/>
      <c r="IG412" s="8"/>
      <c r="IH412" s="8"/>
      <c r="II412" s="8"/>
      <c r="IJ412" s="8"/>
      <c r="IK412" s="8"/>
      <c r="IL412" s="8"/>
      <c r="IM412" s="8"/>
      <c r="IN412" s="8"/>
      <c r="IO412" s="8"/>
      <c r="IP412" s="8"/>
      <c r="IQ412" s="8"/>
      <c r="IR412" s="8"/>
      <c r="IS412" s="8"/>
      <c r="IT412" s="8"/>
      <c r="IU412" s="8"/>
      <c r="IV412" s="8"/>
      <c r="IW412" s="8"/>
      <c r="IX412" s="8"/>
      <c r="IY412" s="8"/>
      <c r="IZ412" s="8"/>
    </row>
    <row r="413" spans="1:260" ht="2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/>
      <c r="FT413" s="8"/>
      <c r="FU413" s="8"/>
      <c r="FV413" s="8"/>
      <c r="FW413" s="8"/>
      <c r="FX413" s="8"/>
      <c r="FY413" s="8"/>
      <c r="FZ413" s="8"/>
      <c r="GA413" s="8"/>
      <c r="GB413" s="8"/>
      <c r="GC413" s="8"/>
      <c r="GD413" s="8"/>
      <c r="GE413" s="8"/>
      <c r="GF413" s="8"/>
      <c r="GG413" s="8"/>
      <c r="GH413" s="8"/>
      <c r="GI413" s="8"/>
      <c r="GJ413" s="8"/>
      <c r="GK413" s="8"/>
      <c r="GL413" s="8"/>
      <c r="GM413" s="8"/>
      <c r="GN413" s="8"/>
      <c r="GO413" s="8"/>
      <c r="GP413" s="8"/>
      <c r="GQ413" s="8"/>
      <c r="GR413" s="8"/>
      <c r="GS413" s="8"/>
      <c r="GT413" s="8"/>
      <c r="GU413" s="8"/>
      <c r="GV413" s="8"/>
      <c r="GW413" s="8"/>
      <c r="GX413" s="8"/>
      <c r="GY413" s="8"/>
      <c r="GZ413" s="8"/>
      <c r="HA413" s="8"/>
      <c r="HB413" s="8"/>
      <c r="HC413" s="8"/>
      <c r="HD413" s="8"/>
      <c r="HE413" s="8"/>
      <c r="HF413" s="8"/>
      <c r="HG413" s="8"/>
      <c r="HH413" s="8"/>
      <c r="HI413" s="8"/>
      <c r="HJ413" s="8"/>
      <c r="HK413" s="8"/>
      <c r="HL413" s="8"/>
      <c r="HM413" s="8"/>
      <c r="HN413" s="8"/>
      <c r="HO413" s="8"/>
      <c r="HP413" s="8"/>
      <c r="HQ413" s="8"/>
      <c r="HR413" s="8"/>
      <c r="HS413" s="8"/>
      <c r="HT413" s="8"/>
      <c r="HU413" s="8"/>
      <c r="HV413" s="8"/>
      <c r="HW413" s="8"/>
      <c r="HX413" s="8"/>
      <c r="HY413" s="8"/>
      <c r="HZ413" s="8"/>
      <c r="IA413" s="8"/>
      <c r="IB413" s="8"/>
      <c r="IC413" s="8"/>
      <c r="ID413" s="8"/>
      <c r="IE413" s="8"/>
      <c r="IF413" s="8"/>
      <c r="IG413" s="8"/>
      <c r="IH413" s="8"/>
      <c r="II413" s="8"/>
      <c r="IJ413" s="8"/>
      <c r="IK413" s="8"/>
      <c r="IL413" s="8"/>
      <c r="IM413" s="8"/>
      <c r="IN413" s="8"/>
      <c r="IO413" s="8"/>
      <c r="IP413" s="8"/>
      <c r="IQ413" s="8"/>
      <c r="IR413" s="8"/>
      <c r="IS413" s="8"/>
      <c r="IT413" s="8"/>
      <c r="IU413" s="8"/>
      <c r="IV413" s="8"/>
      <c r="IW413" s="8"/>
      <c r="IX413" s="8"/>
      <c r="IY413" s="8"/>
      <c r="IZ413" s="8"/>
    </row>
    <row r="414" spans="1:260" ht="2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8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  <c r="HK414" s="8"/>
      <c r="HL414" s="8"/>
      <c r="HM414" s="8"/>
      <c r="HN414" s="8"/>
      <c r="HO414" s="8"/>
      <c r="HP414" s="8"/>
      <c r="HQ414" s="8"/>
      <c r="HR414" s="8"/>
      <c r="HS414" s="8"/>
      <c r="HT414" s="8"/>
      <c r="HU414" s="8"/>
      <c r="HV414" s="8"/>
      <c r="HW414" s="8"/>
      <c r="HX414" s="8"/>
      <c r="HY414" s="8"/>
      <c r="HZ414" s="8"/>
      <c r="IA414" s="8"/>
      <c r="IB414" s="8"/>
      <c r="IC414" s="8"/>
      <c r="ID414" s="8"/>
      <c r="IE414" s="8"/>
      <c r="IF414" s="8"/>
      <c r="IG414" s="8"/>
      <c r="IH414" s="8"/>
      <c r="II414" s="8"/>
      <c r="IJ414" s="8"/>
      <c r="IK414" s="8"/>
      <c r="IL414" s="8"/>
      <c r="IM414" s="8"/>
      <c r="IN414" s="8"/>
      <c r="IO414" s="8"/>
      <c r="IP414" s="8"/>
      <c r="IQ414" s="8"/>
      <c r="IR414" s="8"/>
      <c r="IS414" s="8"/>
      <c r="IT414" s="8"/>
      <c r="IU414" s="8"/>
      <c r="IV414" s="8"/>
      <c r="IW414" s="8"/>
      <c r="IX414" s="8"/>
      <c r="IY414" s="8"/>
      <c r="IZ414" s="8"/>
    </row>
    <row r="415" spans="1:260" ht="2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8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  <c r="HK415" s="8"/>
      <c r="HL415" s="8"/>
      <c r="HM415" s="8"/>
      <c r="HN415" s="8"/>
      <c r="HO415" s="8"/>
      <c r="HP415" s="8"/>
      <c r="HQ415" s="8"/>
      <c r="HR415" s="8"/>
      <c r="HS415" s="8"/>
      <c r="HT415" s="8"/>
      <c r="HU415" s="8"/>
      <c r="HV415" s="8"/>
      <c r="HW415" s="8"/>
      <c r="HX415" s="8"/>
      <c r="HY415" s="8"/>
      <c r="HZ415" s="8"/>
      <c r="IA415" s="8"/>
      <c r="IB415" s="8"/>
      <c r="IC415" s="8"/>
      <c r="ID415" s="8"/>
      <c r="IE415" s="8"/>
      <c r="IF415" s="8"/>
      <c r="IG415" s="8"/>
      <c r="IH415" s="8"/>
      <c r="II415" s="8"/>
      <c r="IJ415" s="8"/>
      <c r="IK415" s="8"/>
      <c r="IL415" s="8"/>
      <c r="IM415" s="8"/>
      <c r="IN415" s="8"/>
      <c r="IO415" s="8"/>
      <c r="IP415" s="8"/>
      <c r="IQ415" s="8"/>
      <c r="IR415" s="8"/>
      <c r="IS415" s="8"/>
      <c r="IT415" s="8"/>
      <c r="IU415" s="8"/>
      <c r="IV415" s="8"/>
      <c r="IW415" s="8"/>
      <c r="IX415" s="8"/>
      <c r="IY415" s="8"/>
      <c r="IZ415" s="8"/>
    </row>
    <row r="416" spans="1:260" ht="2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/>
      <c r="FT416" s="8"/>
      <c r="FU416" s="8"/>
      <c r="FV416" s="8"/>
      <c r="FW416" s="8"/>
      <c r="FX416" s="8"/>
      <c r="FY416" s="8"/>
      <c r="FZ416" s="8"/>
      <c r="GA416" s="8"/>
      <c r="GB416" s="8"/>
      <c r="GC416" s="8"/>
      <c r="GD416" s="8"/>
      <c r="GE416" s="8"/>
      <c r="GF416" s="8"/>
      <c r="GG416" s="8"/>
      <c r="GH416" s="8"/>
      <c r="GI416" s="8"/>
      <c r="GJ416" s="8"/>
      <c r="GK416" s="8"/>
      <c r="GL416" s="8"/>
      <c r="GM416" s="8"/>
      <c r="GN416" s="8"/>
      <c r="GO416" s="8"/>
      <c r="GP416" s="8"/>
      <c r="GQ416" s="8"/>
      <c r="GR416" s="8"/>
      <c r="GS416" s="8"/>
      <c r="GT416" s="8"/>
      <c r="GU416" s="8"/>
      <c r="GV416" s="8"/>
      <c r="GW416" s="8"/>
      <c r="GX416" s="8"/>
      <c r="GY416" s="8"/>
      <c r="GZ416" s="8"/>
      <c r="HA416" s="8"/>
      <c r="HB416" s="8"/>
      <c r="HC416" s="8"/>
      <c r="HD416" s="8"/>
      <c r="HE416" s="8"/>
      <c r="HF416" s="8"/>
      <c r="HG416" s="8"/>
      <c r="HH416" s="8"/>
      <c r="HI416" s="8"/>
      <c r="HJ416" s="8"/>
      <c r="HK416" s="8"/>
      <c r="HL416" s="8"/>
      <c r="HM416" s="8"/>
      <c r="HN416" s="8"/>
      <c r="HO416" s="8"/>
      <c r="HP416" s="8"/>
      <c r="HQ416" s="8"/>
      <c r="HR416" s="8"/>
      <c r="HS416" s="8"/>
      <c r="HT416" s="8"/>
      <c r="HU416" s="8"/>
      <c r="HV416" s="8"/>
      <c r="HW416" s="8"/>
      <c r="HX416" s="8"/>
      <c r="HY416" s="8"/>
      <c r="HZ416" s="8"/>
      <c r="IA416" s="8"/>
      <c r="IB416" s="8"/>
      <c r="IC416" s="8"/>
      <c r="ID416" s="8"/>
      <c r="IE416" s="8"/>
      <c r="IF416" s="8"/>
      <c r="IG416" s="8"/>
      <c r="IH416" s="8"/>
      <c r="II416" s="8"/>
      <c r="IJ416" s="8"/>
      <c r="IK416" s="8"/>
      <c r="IL416" s="8"/>
      <c r="IM416" s="8"/>
      <c r="IN416" s="8"/>
      <c r="IO416" s="8"/>
      <c r="IP416" s="8"/>
      <c r="IQ416" s="8"/>
      <c r="IR416" s="8"/>
      <c r="IS416" s="8"/>
      <c r="IT416" s="8"/>
      <c r="IU416" s="8"/>
      <c r="IV416" s="8"/>
      <c r="IW416" s="8"/>
      <c r="IX416" s="8"/>
      <c r="IY416" s="8"/>
      <c r="IZ416" s="8"/>
    </row>
    <row r="417" spans="1:260" ht="2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  <c r="FU417" s="8"/>
      <c r="FV417" s="8"/>
      <c r="FW417" s="8"/>
      <c r="FX417" s="8"/>
      <c r="FY417" s="8"/>
      <c r="FZ417" s="8"/>
      <c r="GA417" s="8"/>
      <c r="GB417" s="8"/>
      <c r="GC417" s="8"/>
      <c r="GD417" s="8"/>
      <c r="GE417" s="8"/>
      <c r="GF417" s="8"/>
      <c r="GG417" s="8"/>
      <c r="GH417" s="8"/>
      <c r="GI417" s="8"/>
      <c r="GJ417" s="8"/>
      <c r="GK417" s="8"/>
      <c r="GL417" s="8"/>
      <c r="GM417" s="8"/>
      <c r="GN417" s="8"/>
      <c r="GO417" s="8"/>
      <c r="GP417" s="8"/>
      <c r="GQ417" s="8"/>
      <c r="GR417" s="8"/>
      <c r="GS417" s="8"/>
      <c r="GT417" s="8"/>
      <c r="GU417" s="8"/>
      <c r="GV417" s="8"/>
      <c r="GW417" s="8"/>
      <c r="GX417" s="8"/>
      <c r="GY417" s="8"/>
      <c r="GZ417" s="8"/>
      <c r="HA417" s="8"/>
      <c r="HB417" s="8"/>
      <c r="HC417" s="8"/>
      <c r="HD417" s="8"/>
      <c r="HE417" s="8"/>
      <c r="HF417" s="8"/>
      <c r="HG417" s="8"/>
      <c r="HH417" s="8"/>
      <c r="HI417" s="8"/>
      <c r="HJ417" s="8"/>
      <c r="HK417" s="8"/>
      <c r="HL417" s="8"/>
      <c r="HM417" s="8"/>
      <c r="HN417" s="8"/>
      <c r="HO417" s="8"/>
      <c r="HP417" s="8"/>
      <c r="HQ417" s="8"/>
      <c r="HR417" s="8"/>
      <c r="HS417" s="8"/>
      <c r="HT417" s="8"/>
      <c r="HU417" s="8"/>
      <c r="HV417" s="8"/>
      <c r="HW417" s="8"/>
      <c r="HX417" s="8"/>
      <c r="HY417" s="8"/>
      <c r="HZ417" s="8"/>
      <c r="IA417" s="8"/>
      <c r="IB417" s="8"/>
      <c r="IC417" s="8"/>
      <c r="ID417" s="8"/>
      <c r="IE417" s="8"/>
      <c r="IF417" s="8"/>
      <c r="IG417" s="8"/>
      <c r="IH417" s="8"/>
      <c r="II417" s="8"/>
      <c r="IJ417" s="8"/>
      <c r="IK417" s="8"/>
      <c r="IL417" s="8"/>
      <c r="IM417" s="8"/>
      <c r="IN417" s="8"/>
      <c r="IO417" s="8"/>
      <c r="IP417" s="8"/>
      <c r="IQ417" s="8"/>
      <c r="IR417" s="8"/>
      <c r="IS417" s="8"/>
      <c r="IT417" s="8"/>
      <c r="IU417" s="8"/>
      <c r="IV417" s="8"/>
      <c r="IW417" s="8"/>
      <c r="IX417" s="8"/>
      <c r="IY417" s="8"/>
      <c r="IZ417" s="8"/>
    </row>
    <row r="418" spans="1:260" ht="2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  <c r="GA418" s="8"/>
      <c r="GB418" s="8"/>
      <c r="GC418" s="8"/>
      <c r="GD418" s="8"/>
      <c r="GE418" s="8"/>
      <c r="GF418" s="8"/>
      <c r="GG418" s="8"/>
      <c r="GH418" s="8"/>
      <c r="GI418" s="8"/>
      <c r="GJ418" s="8"/>
      <c r="GK418" s="8"/>
      <c r="GL418" s="8"/>
      <c r="GM418" s="8"/>
      <c r="GN418" s="8"/>
      <c r="GO418" s="8"/>
      <c r="GP418" s="8"/>
      <c r="GQ418" s="8"/>
      <c r="GR418" s="8"/>
      <c r="GS418" s="8"/>
      <c r="GT418" s="8"/>
      <c r="GU418" s="8"/>
      <c r="GV418" s="8"/>
      <c r="GW418" s="8"/>
      <c r="GX418" s="8"/>
      <c r="GY418" s="8"/>
      <c r="GZ418" s="8"/>
      <c r="HA418" s="8"/>
      <c r="HB418" s="8"/>
      <c r="HC418" s="8"/>
      <c r="HD418" s="8"/>
      <c r="HE418" s="8"/>
      <c r="HF418" s="8"/>
      <c r="HG418" s="8"/>
      <c r="HH418" s="8"/>
      <c r="HI418" s="8"/>
      <c r="HJ418" s="8"/>
      <c r="HK418" s="8"/>
      <c r="HL418" s="8"/>
      <c r="HM418" s="8"/>
      <c r="HN418" s="8"/>
      <c r="HO418" s="8"/>
      <c r="HP418" s="8"/>
      <c r="HQ418" s="8"/>
      <c r="HR418" s="8"/>
      <c r="HS418" s="8"/>
      <c r="HT418" s="8"/>
      <c r="HU418" s="8"/>
      <c r="HV418" s="8"/>
      <c r="HW418" s="8"/>
      <c r="HX418" s="8"/>
      <c r="HY418" s="8"/>
      <c r="HZ418" s="8"/>
      <c r="IA418" s="8"/>
      <c r="IB418" s="8"/>
      <c r="IC418" s="8"/>
      <c r="ID418" s="8"/>
      <c r="IE418" s="8"/>
      <c r="IF418" s="8"/>
      <c r="IG418" s="8"/>
      <c r="IH418" s="8"/>
      <c r="II418" s="8"/>
      <c r="IJ418" s="8"/>
      <c r="IK418" s="8"/>
      <c r="IL418" s="8"/>
      <c r="IM418" s="8"/>
      <c r="IN418" s="8"/>
      <c r="IO418" s="8"/>
      <c r="IP418" s="8"/>
      <c r="IQ418" s="8"/>
      <c r="IR418" s="8"/>
      <c r="IS418" s="8"/>
      <c r="IT418" s="8"/>
      <c r="IU418" s="8"/>
      <c r="IV418" s="8"/>
      <c r="IW418" s="8"/>
      <c r="IX418" s="8"/>
      <c r="IY418" s="8"/>
      <c r="IZ418" s="8"/>
    </row>
    <row r="419" spans="1:260" ht="2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  <c r="FU419" s="8"/>
      <c r="FV419" s="8"/>
      <c r="FW419" s="8"/>
      <c r="FX419" s="8"/>
      <c r="FY419" s="8"/>
      <c r="FZ419" s="8"/>
      <c r="GA419" s="8"/>
      <c r="GB419" s="8"/>
      <c r="GC419" s="8"/>
      <c r="GD419" s="8"/>
      <c r="GE419" s="8"/>
      <c r="GF419" s="8"/>
      <c r="GG419" s="8"/>
      <c r="GH419" s="8"/>
      <c r="GI419" s="8"/>
      <c r="GJ419" s="8"/>
      <c r="GK419" s="8"/>
      <c r="GL419" s="8"/>
      <c r="GM419" s="8"/>
      <c r="GN419" s="8"/>
      <c r="GO419" s="8"/>
      <c r="GP419" s="8"/>
      <c r="GQ419" s="8"/>
      <c r="GR419" s="8"/>
      <c r="GS419" s="8"/>
      <c r="GT419" s="8"/>
      <c r="GU419" s="8"/>
      <c r="GV419" s="8"/>
      <c r="GW419" s="8"/>
      <c r="GX419" s="8"/>
      <c r="GY419" s="8"/>
      <c r="GZ419" s="8"/>
      <c r="HA419" s="8"/>
      <c r="HB419" s="8"/>
      <c r="HC419" s="8"/>
      <c r="HD419" s="8"/>
      <c r="HE419" s="8"/>
      <c r="HF419" s="8"/>
      <c r="HG419" s="8"/>
      <c r="HH419" s="8"/>
      <c r="HI419" s="8"/>
      <c r="HJ419" s="8"/>
      <c r="HK419" s="8"/>
      <c r="HL419" s="8"/>
      <c r="HM419" s="8"/>
      <c r="HN419" s="8"/>
      <c r="HO419" s="8"/>
      <c r="HP419" s="8"/>
      <c r="HQ419" s="8"/>
      <c r="HR419" s="8"/>
      <c r="HS419" s="8"/>
      <c r="HT419" s="8"/>
      <c r="HU419" s="8"/>
      <c r="HV419" s="8"/>
      <c r="HW419" s="8"/>
      <c r="HX419" s="8"/>
      <c r="HY419" s="8"/>
      <c r="HZ419" s="8"/>
      <c r="IA419" s="8"/>
      <c r="IB419" s="8"/>
      <c r="IC419" s="8"/>
      <c r="ID419" s="8"/>
      <c r="IE419" s="8"/>
      <c r="IF419" s="8"/>
      <c r="IG419" s="8"/>
      <c r="IH419" s="8"/>
      <c r="II419" s="8"/>
      <c r="IJ419" s="8"/>
      <c r="IK419" s="8"/>
      <c r="IL419" s="8"/>
      <c r="IM419" s="8"/>
      <c r="IN419" s="8"/>
      <c r="IO419" s="8"/>
      <c r="IP419" s="8"/>
      <c r="IQ419" s="8"/>
      <c r="IR419" s="8"/>
      <c r="IS419" s="8"/>
      <c r="IT419" s="8"/>
      <c r="IU419" s="8"/>
      <c r="IV419" s="8"/>
      <c r="IW419" s="8"/>
      <c r="IX419" s="8"/>
      <c r="IY419" s="8"/>
      <c r="IZ419" s="8"/>
    </row>
    <row r="420" spans="1:260" ht="2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8"/>
      <c r="GF420" s="8"/>
      <c r="GG420" s="8"/>
      <c r="GH420" s="8"/>
      <c r="GI420" s="8"/>
      <c r="GJ420" s="8"/>
      <c r="GK420" s="8"/>
      <c r="GL420" s="8"/>
      <c r="GM420" s="8"/>
      <c r="GN420" s="8"/>
      <c r="GO420" s="8"/>
      <c r="GP420" s="8"/>
      <c r="GQ420" s="8"/>
      <c r="GR420" s="8"/>
      <c r="GS420" s="8"/>
      <c r="GT420" s="8"/>
      <c r="GU420" s="8"/>
      <c r="GV420" s="8"/>
      <c r="GW420" s="8"/>
      <c r="GX420" s="8"/>
      <c r="GY420" s="8"/>
      <c r="GZ420" s="8"/>
      <c r="HA420" s="8"/>
      <c r="HB420" s="8"/>
      <c r="HC420" s="8"/>
      <c r="HD420" s="8"/>
      <c r="HE420" s="8"/>
      <c r="HF420" s="8"/>
      <c r="HG420" s="8"/>
      <c r="HH420" s="8"/>
      <c r="HI420" s="8"/>
      <c r="HJ420" s="8"/>
      <c r="HK420" s="8"/>
      <c r="HL420" s="8"/>
      <c r="HM420" s="8"/>
      <c r="HN420" s="8"/>
      <c r="HO420" s="8"/>
      <c r="HP420" s="8"/>
      <c r="HQ420" s="8"/>
      <c r="HR420" s="8"/>
      <c r="HS420" s="8"/>
      <c r="HT420" s="8"/>
      <c r="HU420" s="8"/>
      <c r="HV420" s="8"/>
      <c r="HW420" s="8"/>
      <c r="HX420" s="8"/>
      <c r="HY420" s="8"/>
      <c r="HZ420" s="8"/>
      <c r="IA420" s="8"/>
      <c r="IB420" s="8"/>
      <c r="IC420" s="8"/>
      <c r="ID420" s="8"/>
      <c r="IE420" s="8"/>
      <c r="IF420" s="8"/>
      <c r="IG420" s="8"/>
      <c r="IH420" s="8"/>
      <c r="II420" s="8"/>
      <c r="IJ420" s="8"/>
      <c r="IK420" s="8"/>
      <c r="IL420" s="8"/>
      <c r="IM420" s="8"/>
      <c r="IN420" s="8"/>
      <c r="IO420" s="8"/>
      <c r="IP420" s="8"/>
      <c r="IQ420" s="8"/>
      <c r="IR420" s="8"/>
      <c r="IS420" s="8"/>
      <c r="IT420" s="8"/>
      <c r="IU420" s="8"/>
      <c r="IV420" s="8"/>
      <c r="IW420" s="8"/>
      <c r="IX420" s="8"/>
      <c r="IY420" s="8"/>
      <c r="IZ420" s="8"/>
    </row>
    <row r="421" spans="1:260" ht="2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8"/>
      <c r="GF421" s="8"/>
      <c r="GG421" s="8"/>
      <c r="GH421" s="8"/>
      <c r="GI421" s="8"/>
      <c r="GJ421" s="8"/>
      <c r="GK421" s="8"/>
      <c r="GL421" s="8"/>
      <c r="GM421" s="8"/>
      <c r="GN421" s="8"/>
      <c r="GO421" s="8"/>
      <c r="GP421" s="8"/>
      <c r="GQ421" s="8"/>
      <c r="GR421" s="8"/>
      <c r="GS421" s="8"/>
      <c r="GT421" s="8"/>
      <c r="GU421" s="8"/>
      <c r="GV421" s="8"/>
      <c r="GW421" s="8"/>
      <c r="GX421" s="8"/>
      <c r="GY421" s="8"/>
      <c r="GZ421" s="8"/>
      <c r="HA421" s="8"/>
      <c r="HB421" s="8"/>
      <c r="HC421" s="8"/>
      <c r="HD421" s="8"/>
      <c r="HE421" s="8"/>
      <c r="HF421" s="8"/>
      <c r="HG421" s="8"/>
      <c r="HH421" s="8"/>
      <c r="HI421" s="8"/>
      <c r="HJ421" s="8"/>
      <c r="HK421" s="8"/>
      <c r="HL421" s="8"/>
      <c r="HM421" s="8"/>
      <c r="HN421" s="8"/>
      <c r="HO421" s="8"/>
      <c r="HP421" s="8"/>
      <c r="HQ421" s="8"/>
      <c r="HR421" s="8"/>
      <c r="HS421" s="8"/>
      <c r="HT421" s="8"/>
      <c r="HU421" s="8"/>
      <c r="HV421" s="8"/>
      <c r="HW421" s="8"/>
      <c r="HX421" s="8"/>
      <c r="HY421" s="8"/>
      <c r="HZ421" s="8"/>
      <c r="IA421" s="8"/>
      <c r="IB421" s="8"/>
      <c r="IC421" s="8"/>
      <c r="ID421" s="8"/>
      <c r="IE421" s="8"/>
      <c r="IF421" s="8"/>
      <c r="IG421" s="8"/>
      <c r="IH421" s="8"/>
      <c r="II421" s="8"/>
      <c r="IJ421" s="8"/>
      <c r="IK421" s="8"/>
      <c r="IL421" s="8"/>
      <c r="IM421" s="8"/>
      <c r="IN421" s="8"/>
      <c r="IO421" s="8"/>
      <c r="IP421" s="8"/>
      <c r="IQ421" s="8"/>
      <c r="IR421" s="8"/>
      <c r="IS421" s="8"/>
      <c r="IT421" s="8"/>
      <c r="IU421" s="8"/>
      <c r="IV421" s="8"/>
      <c r="IW421" s="8"/>
      <c r="IX421" s="8"/>
      <c r="IY421" s="8"/>
      <c r="IZ421" s="8"/>
    </row>
    <row r="422" spans="1:260" ht="2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8"/>
      <c r="GF422" s="8"/>
      <c r="GG422" s="8"/>
      <c r="GH422" s="8"/>
      <c r="GI422" s="8"/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/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  <c r="HK422" s="8"/>
      <c r="HL422" s="8"/>
      <c r="HM422" s="8"/>
      <c r="HN422" s="8"/>
      <c r="HO422" s="8"/>
      <c r="HP422" s="8"/>
      <c r="HQ422" s="8"/>
      <c r="HR422" s="8"/>
      <c r="HS422" s="8"/>
      <c r="HT422" s="8"/>
      <c r="HU422" s="8"/>
      <c r="HV422" s="8"/>
      <c r="HW422" s="8"/>
      <c r="HX422" s="8"/>
      <c r="HY422" s="8"/>
      <c r="HZ422" s="8"/>
      <c r="IA422" s="8"/>
      <c r="IB422" s="8"/>
      <c r="IC422" s="8"/>
      <c r="ID422" s="8"/>
      <c r="IE422" s="8"/>
      <c r="IF422" s="8"/>
      <c r="IG422" s="8"/>
      <c r="IH422" s="8"/>
      <c r="II422" s="8"/>
      <c r="IJ422" s="8"/>
      <c r="IK422" s="8"/>
      <c r="IL422" s="8"/>
      <c r="IM422" s="8"/>
      <c r="IN422" s="8"/>
      <c r="IO422" s="8"/>
      <c r="IP422" s="8"/>
      <c r="IQ422" s="8"/>
      <c r="IR422" s="8"/>
      <c r="IS422" s="8"/>
      <c r="IT422" s="8"/>
      <c r="IU422" s="8"/>
      <c r="IV422" s="8"/>
      <c r="IW422" s="8"/>
      <c r="IX422" s="8"/>
      <c r="IY422" s="8"/>
      <c r="IZ422" s="8"/>
    </row>
    <row r="423" spans="1:260" ht="2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  <c r="GA423" s="8"/>
      <c r="GB423" s="8"/>
      <c r="GC423" s="8"/>
      <c r="GD423" s="8"/>
      <c r="GE423" s="8"/>
      <c r="GF423" s="8"/>
      <c r="GG423" s="8"/>
      <c r="GH423" s="8"/>
      <c r="GI423" s="8"/>
      <c r="GJ423" s="8"/>
      <c r="GK423" s="8"/>
      <c r="GL423" s="8"/>
      <c r="GM423" s="8"/>
      <c r="GN423" s="8"/>
      <c r="GO423" s="8"/>
      <c r="GP423" s="8"/>
      <c r="GQ423" s="8"/>
      <c r="GR423" s="8"/>
      <c r="GS423" s="8"/>
      <c r="GT423" s="8"/>
      <c r="GU423" s="8"/>
      <c r="GV423" s="8"/>
      <c r="GW423" s="8"/>
      <c r="GX423" s="8"/>
      <c r="GY423" s="8"/>
      <c r="GZ423" s="8"/>
      <c r="HA423" s="8"/>
      <c r="HB423" s="8"/>
      <c r="HC423" s="8"/>
      <c r="HD423" s="8"/>
      <c r="HE423" s="8"/>
      <c r="HF423" s="8"/>
      <c r="HG423" s="8"/>
      <c r="HH423" s="8"/>
      <c r="HI423" s="8"/>
      <c r="HJ423" s="8"/>
      <c r="HK423" s="8"/>
      <c r="HL423" s="8"/>
      <c r="HM423" s="8"/>
      <c r="HN423" s="8"/>
      <c r="HO423" s="8"/>
      <c r="HP423" s="8"/>
      <c r="HQ423" s="8"/>
      <c r="HR423" s="8"/>
      <c r="HS423" s="8"/>
      <c r="HT423" s="8"/>
      <c r="HU423" s="8"/>
      <c r="HV423" s="8"/>
      <c r="HW423" s="8"/>
      <c r="HX423" s="8"/>
      <c r="HY423" s="8"/>
      <c r="HZ423" s="8"/>
      <c r="IA423" s="8"/>
      <c r="IB423" s="8"/>
      <c r="IC423" s="8"/>
      <c r="ID423" s="8"/>
      <c r="IE423" s="8"/>
      <c r="IF423" s="8"/>
      <c r="IG423" s="8"/>
      <c r="IH423" s="8"/>
      <c r="II423" s="8"/>
      <c r="IJ423" s="8"/>
      <c r="IK423" s="8"/>
      <c r="IL423" s="8"/>
      <c r="IM423" s="8"/>
      <c r="IN423" s="8"/>
      <c r="IO423" s="8"/>
      <c r="IP423" s="8"/>
      <c r="IQ423" s="8"/>
      <c r="IR423" s="8"/>
      <c r="IS423" s="8"/>
      <c r="IT423" s="8"/>
      <c r="IU423" s="8"/>
      <c r="IV423" s="8"/>
      <c r="IW423" s="8"/>
      <c r="IX423" s="8"/>
      <c r="IY423" s="8"/>
      <c r="IZ423" s="8"/>
    </row>
    <row r="424" spans="1:260" ht="2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  <c r="HK424" s="8"/>
      <c r="HL424" s="8"/>
      <c r="HM424" s="8"/>
      <c r="HN424" s="8"/>
      <c r="HO424" s="8"/>
      <c r="HP424" s="8"/>
      <c r="HQ424" s="8"/>
      <c r="HR424" s="8"/>
      <c r="HS424" s="8"/>
      <c r="HT424" s="8"/>
      <c r="HU424" s="8"/>
      <c r="HV424" s="8"/>
      <c r="HW424" s="8"/>
      <c r="HX424" s="8"/>
      <c r="HY424" s="8"/>
      <c r="HZ424" s="8"/>
      <c r="IA424" s="8"/>
      <c r="IB424" s="8"/>
      <c r="IC424" s="8"/>
      <c r="ID424" s="8"/>
      <c r="IE424" s="8"/>
      <c r="IF424" s="8"/>
      <c r="IG424" s="8"/>
      <c r="IH424" s="8"/>
      <c r="II424" s="8"/>
      <c r="IJ424" s="8"/>
      <c r="IK424" s="8"/>
      <c r="IL424" s="8"/>
      <c r="IM424" s="8"/>
      <c r="IN424" s="8"/>
      <c r="IO424" s="8"/>
      <c r="IP424" s="8"/>
      <c r="IQ424" s="8"/>
      <c r="IR424" s="8"/>
      <c r="IS424" s="8"/>
      <c r="IT424" s="8"/>
      <c r="IU424" s="8"/>
      <c r="IV424" s="8"/>
      <c r="IW424" s="8"/>
      <c r="IX424" s="8"/>
      <c r="IY424" s="8"/>
      <c r="IZ424" s="8"/>
    </row>
    <row r="425" spans="1:260" ht="2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  <c r="FU425" s="8"/>
      <c r="FV425" s="8"/>
      <c r="FW425" s="8"/>
      <c r="FX425" s="8"/>
      <c r="FY425" s="8"/>
      <c r="FZ425" s="8"/>
      <c r="GA425" s="8"/>
      <c r="GB425" s="8"/>
      <c r="GC425" s="8"/>
      <c r="GD425" s="8"/>
      <c r="GE425" s="8"/>
      <c r="GF425" s="8"/>
      <c r="GG425" s="8"/>
      <c r="GH425" s="8"/>
      <c r="GI425" s="8"/>
      <c r="GJ425" s="8"/>
      <c r="GK425" s="8"/>
      <c r="GL425" s="8"/>
      <c r="GM425" s="8"/>
      <c r="GN425" s="8"/>
      <c r="GO425" s="8"/>
      <c r="GP425" s="8"/>
      <c r="GQ425" s="8"/>
      <c r="GR425" s="8"/>
      <c r="GS425" s="8"/>
      <c r="GT425" s="8"/>
      <c r="GU425" s="8"/>
      <c r="GV425" s="8"/>
      <c r="GW425" s="8"/>
      <c r="GX425" s="8"/>
      <c r="GY425" s="8"/>
      <c r="GZ425" s="8"/>
      <c r="HA425" s="8"/>
      <c r="HB425" s="8"/>
      <c r="HC425" s="8"/>
      <c r="HD425" s="8"/>
      <c r="HE425" s="8"/>
      <c r="HF425" s="8"/>
      <c r="HG425" s="8"/>
      <c r="HH425" s="8"/>
      <c r="HI425" s="8"/>
      <c r="HJ425" s="8"/>
      <c r="HK425" s="8"/>
      <c r="HL425" s="8"/>
      <c r="HM425" s="8"/>
      <c r="HN425" s="8"/>
      <c r="HO425" s="8"/>
      <c r="HP425" s="8"/>
      <c r="HQ425" s="8"/>
      <c r="HR425" s="8"/>
      <c r="HS425" s="8"/>
      <c r="HT425" s="8"/>
      <c r="HU425" s="8"/>
      <c r="HV425" s="8"/>
      <c r="HW425" s="8"/>
      <c r="HX425" s="8"/>
      <c r="HY425" s="8"/>
      <c r="HZ425" s="8"/>
      <c r="IA425" s="8"/>
      <c r="IB425" s="8"/>
      <c r="IC425" s="8"/>
      <c r="ID425" s="8"/>
      <c r="IE425" s="8"/>
      <c r="IF425" s="8"/>
      <c r="IG425" s="8"/>
      <c r="IH425" s="8"/>
      <c r="II425" s="8"/>
      <c r="IJ425" s="8"/>
      <c r="IK425" s="8"/>
      <c r="IL425" s="8"/>
      <c r="IM425" s="8"/>
      <c r="IN425" s="8"/>
      <c r="IO425" s="8"/>
      <c r="IP425" s="8"/>
      <c r="IQ425" s="8"/>
      <c r="IR425" s="8"/>
      <c r="IS425" s="8"/>
      <c r="IT425" s="8"/>
      <c r="IU425" s="8"/>
      <c r="IV425" s="8"/>
      <c r="IW425" s="8"/>
      <c r="IX425" s="8"/>
      <c r="IY425" s="8"/>
      <c r="IZ425" s="8"/>
    </row>
    <row r="426" spans="1:260" ht="2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  <c r="GA426" s="8"/>
      <c r="GB426" s="8"/>
      <c r="GC426" s="8"/>
      <c r="GD426" s="8"/>
      <c r="GE426" s="8"/>
      <c r="GF426" s="8"/>
      <c r="GG426" s="8"/>
      <c r="GH426" s="8"/>
      <c r="GI426" s="8"/>
      <c r="GJ426" s="8"/>
      <c r="GK426" s="8"/>
      <c r="GL426" s="8"/>
      <c r="GM426" s="8"/>
      <c r="GN426" s="8"/>
      <c r="GO426" s="8"/>
      <c r="GP426" s="8"/>
      <c r="GQ426" s="8"/>
      <c r="GR426" s="8"/>
      <c r="GS426" s="8"/>
      <c r="GT426" s="8"/>
      <c r="GU426" s="8"/>
      <c r="GV426" s="8"/>
      <c r="GW426" s="8"/>
      <c r="GX426" s="8"/>
      <c r="GY426" s="8"/>
      <c r="GZ426" s="8"/>
      <c r="HA426" s="8"/>
      <c r="HB426" s="8"/>
      <c r="HC426" s="8"/>
      <c r="HD426" s="8"/>
      <c r="HE426" s="8"/>
      <c r="HF426" s="8"/>
      <c r="HG426" s="8"/>
      <c r="HH426" s="8"/>
      <c r="HI426" s="8"/>
      <c r="HJ426" s="8"/>
      <c r="HK426" s="8"/>
      <c r="HL426" s="8"/>
      <c r="HM426" s="8"/>
      <c r="HN426" s="8"/>
      <c r="HO426" s="8"/>
      <c r="HP426" s="8"/>
      <c r="HQ426" s="8"/>
      <c r="HR426" s="8"/>
      <c r="HS426" s="8"/>
      <c r="HT426" s="8"/>
      <c r="HU426" s="8"/>
      <c r="HV426" s="8"/>
      <c r="HW426" s="8"/>
      <c r="HX426" s="8"/>
      <c r="HY426" s="8"/>
      <c r="HZ426" s="8"/>
      <c r="IA426" s="8"/>
      <c r="IB426" s="8"/>
      <c r="IC426" s="8"/>
      <c r="ID426" s="8"/>
      <c r="IE426" s="8"/>
      <c r="IF426" s="8"/>
      <c r="IG426" s="8"/>
      <c r="IH426" s="8"/>
      <c r="II426" s="8"/>
      <c r="IJ426" s="8"/>
      <c r="IK426" s="8"/>
      <c r="IL426" s="8"/>
      <c r="IM426" s="8"/>
      <c r="IN426" s="8"/>
      <c r="IO426" s="8"/>
      <c r="IP426" s="8"/>
      <c r="IQ426" s="8"/>
      <c r="IR426" s="8"/>
      <c r="IS426" s="8"/>
      <c r="IT426" s="8"/>
      <c r="IU426" s="8"/>
      <c r="IV426" s="8"/>
      <c r="IW426" s="8"/>
      <c r="IX426" s="8"/>
      <c r="IY426" s="8"/>
      <c r="IZ426" s="8"/>
    </row>
    <row r="427" spans="1:260" ht="2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8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  <c r="HK427" s="8"/>
      <c r="HL427" s="8"/>
      <c r="HM427" s="8"/>
      <c r="HN427" s="8"/>
      <c r="HO427" s="8"/>
      <c r="HP427" s="8"/>
      <c r="HQ427" s="8"/>
      <c r="HR427" s="8"/>
      <c r="HS427" s="8"/>
      <c r="HT427" s="8"/>
      <c r="HU427" s="8"/>
      <c r="HV427" s="8"/>
      <c r="HW427" s="8"/>
      <c r="HX427" s="8"/>
      <c r="HY427" s="8"/>
      <c r="HZ427" s="8"/>
      <c r="IA427" s="8"/>
      <c r="IB427" s="8"/>
      <c r="IC427" s="8"/>
      <c r="ID427" s="8"/>
      <c r="IE427" s="8"/>
      <c r="IF427" s="8"/>
      <c r="IG427" s="8"/>
      <c r="IH427" s="8"/>
      <c r="II427" s="8"/>
      <c r="IJ427" s="8"/>
      <c r="IK427" s="8"/>
      <c r="IL427" s="8"/>
      <c r="IM427" s="8"/>
      <c r="IN427" s="8"/>
      <c r="IO427" s="8"/>
      <c r="IP427" s="8"/>
      <c r="IQ427" s="8"/>
      <c r="IR427" s="8"/>
      <c r="IS427" s="8"/>
      <c r="IT427" s="8"/>
      <c r="IU427" s="8"/>
      <c r="IV427" s="8"/>
      <c r="IW427" s="8"/>
      <c r="IX427" s="8"/>
      <c r="IY427" s="8"/>
      <c r="IZ427" s="8"/>
    </row>
    <row r="428" spans="1:260" ht="19" x14ac:dyDescent="0.25">
      <c r="B428" s="8"/>
      <c r="C428" s="8"/>
      <c r="D428" s="8"/>
      <c r="E428" s="8"/>
      <c r="F428" s="8"/>
    </row>
  </sheetData>
  <mergeCells count="27">
    <mergeCell ref="A154:E154"/>
    <mergeCell ref="C58:E58"/>
    <mergeCell ref="C59:E59"/>
    <mergeCell ref="C52:E52"/>
    <mergeCell ref="C53:E53"/>
    <mergeCell ref="C54:E54"/>
    <mergeCell ref="C55:E55"/>
    <mergeCell ref="C56:E56"/>
    <mergeCell ref="C57:E57"/>
    <mergeCell ref="A149:B149"/>
    <mergeCell ref="A150:E150"/>
    <mergeCell ref="A151:E151"/>
    <mergeCell ref="A152:E152"/>
    <mergeCell ref="A153:E153"/>
    <mergeCell ref="A168:E168"/>
    <mergeCell ref="A169:E169"/>
    <mergeCell ref="A170:E170"/>
    <mergeCell ref="A171:E171"/>
    <mergeCell ref="A155:E155"/>
    <mergeCell ref="A156:E156"/>
    <mergeCell ref="A157:E157"/>
    <mergeCell ref="A158:E158"/>
    <mergeCell ref="A162:E162"/>
    <mergeCell ref="A163:E163"/>
    <mergeCell ref="A164:E164"/>
    <mergeCell ref="A165:E165"/>
    <mergeCell ref="A167:E167"/>
  </mergeCells>
  <dataValidations count="1">
    <dataValidation type="list" allowBlank="1" showInputMessage="1" showErrorMessage="1" sqref="B66" xr:uid="{E9CD0E04-792D-BD47-8F31-AFF1C98A9B10}">
      <formula1>$A$67:$A$69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04C9-DE1C-A343-986B-6FCFB7DFD355}">
  <dimension ref="A1:AG1232"/>
  <sheetViews>
    <sheetView tabSelected="1" zoomScale="111" workbookViewId="0">
      <selection activeCell="F14" sqref="F14"/>
    </sheetView>
  </sheetViews>
  <sheetFormatPr baseColWidth="10" defaultRowHeight="15" x14ac:dyDescent="0.2"/>
  <cols>
    <col min="1" max="1" width="48.83203125" customWidth="1"/>
    <col min="2" max="2" width="14.6640625" customWidth="1"/>
    <col min="3" max="4" width="17.1640625" customWidth="1"/>
    <col min="5" max="5" width="16.6640625" customWidth="1"/>
    <col min="6" max="6" width="15.5" customWidth="1"/>
    <col min="7" max="7" width="19.6640625" customWidth="1"/>
    <col min="8" max="8" width="16.5" customWidth="1"/>
    <col min="9" max="9" width="16.83203125" customWidth="1"/>
    <col min="10" max="10" width="17.6640625" customWidth="1"/>
  </cols>
  <sheetData>
    <row r="1" spans="1:33" ht="47" customHeight="1" x14ac:dyDescent="0.3">
      <c r="A1" s="25" t="s">
        <v>151</v>
      </c>
    </row>
    <row r="3" spans="1:33" ht="21" x14ac:dyDescent="0.25">
      <c r="A3" s="9" t="s">
        <v>152</v>
      </c>
      <c r="B3" s="9" t="s">
        <v>153</v>
      </c>
      <c r="C3" s="9" t="s">
        <v>154</v>
      </c>
      <c r="D3" s="9" t="s">
        <v>155</v>
      </c>
      <c r="E3" s="9" t="s">
        <v>68</v>
      </c>
      <c r="F3" s="9" t="s">
        <v>156</v>
      </c>
      <c r="G3" s="9" t="s">
        <v>157</v>
      </c>
      <c r="H3" s="9" t="s">
        <v>158</v>
      </c>
      <c r="I3" s="9" t="s">
        <v>159</v>
      </c>
      <c r="J3" s="9" t="s">
        <v>165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3" ht="21" x14ac:dyDescent="0.25">
      <c r="A4" s="10" t="s">
        <v>160</v>
      </c>
      <c r="B4" s="10">
        <v>1278.25</v>
      </c>
      <c r="C4" s="10">
        <v>518406.02</v>
      </c>
      <c r="D4" s="10">
        <v>162990</v>
      </c>
      <c r="E4" s="10">
        <v>39236</v>
      </c>
      <c r="F4" s="10">
        <v>26713</v>
      </c>
      <c r="G4" s="10">
        <v>0.9</v>
      </c>
      <c r="H4" s="30">
        <v>8227</v>
      </c>
      <c r="I4" s="31">
        <v>24455</v>
      </c>
      <c r="J4" s="10">
        <v>8796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3" ht="21" x14ac:dyDescent="0.25">
      <c r="A5" s="10" t="s">
        <v>161</v>
      </c>
      <c r="B5" s="10">
        <v>2384.1999999999998</v>
      </c>
      <c r="C5" s="27">
        <v>862624.52</v>
      </c>
      <c r="D5" s="10">
        <v>255324</v>
      </c>
      <c r="E5" s="10">
        <v>67407</v>
      </c>
      <c r="F5" s="29">
        <v>48797</v>
      </c>
      <c r="G5" s="10">
        <v>0.8</v>
      </c>
      <c r="H5" s="31">
        <v>9392</v>
      </c>
      <c r="I5" s="30">
        <v>15463</v>
      </c>
      <c r="J5" s="10">
        <v>10932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3" ht="21" x14ac:dyDescent="0.25">
      <c r="A6" s="10" t="s">
        <v>162</v>
      </c>
      <c r="B6" s="10">
        <v>1384.45</v>
      </c>
      <c r="C6" s="28">
        <v>375693.33</v>
      </c>
      <c r="D6" s="10">
        <v>117055</v>
      </c>
      <c r="E6" s="10">
        <v>25504</v>
      </c>
      <c r="F6" s="29">
        <v>4236</v>
      </c>
      <c r="G6" s="10">
        <v>1</v>
      </c>
      <c r="H6" s="31">
        <v>6276</v>
      </c>
      <c r="I6" s="30">
        <v>21289</v>
      </c>
      <c r="J6" s="10">
        <v>6780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3" ht="21" x14ac:dyDescent="0.25">
      <c r="A7" s="10" t="s">
        <v>163</v>
      </c>
      <c r="B7" s="10">
        <v>188.9</v>
      </c>
      <c r="C7" s="28">
        <v>198126.12</v>
      </c>
      <c r="D7" s="10">
        <v>90892</v>
      </c>
      <c r="E7" s="10">
        <v>18021</v>
      </c>
      <c r="F7" s="29">
        <v>13218</v>
      </c>
      <c r="G7" s="10">
        <v>0.8</v>
      </c>
      <c r="H7" s="30">
        <v>19204</v>
      </c>
      <c r="I7" s="31">
        <v>12197</v>
      </c>
      <c r="J7" s="10">
        <v>16164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3" ht="21" x14ac:dyDescent="0.25">
      <c r="A8" s="10" t="s">
        <v>172</v>
      </c>
      <c r="B8" s="10">
        <v>1409</v>
      </c>
      <c r="C8" s="10">
        <v>138050</v>
      </c>
      <c r="D8" s="10">
        <v>52988</v>
      </c>
      <c r="E8" s="10">
        <v>6964</v>
      </c>
      <c r="F8" s="10">
        <v>4253</v>
      </c>
      <c r="G8" s="10">
        <v>0.9</v>
      </c>
      <c r="H8" s="10">
        <v>2025</v>
      </c>
      <c r="I8" s="10">
        <v>4542</v>
      </c>
      <c r="J8" s="10">
        <v>1954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21" x14ac:dyDescent="0.25">
      <c r="A9" s="32" t="s">
        <v>164</v>
      </c>
      <c r="B9" s="16"/>
      <c r="C9" s="16"/>
      <c r="D9" s="16"/>
      <c r="E9" s="16"/>
      <c r="F9" s="16"/>
      <c r="G9" s="16"/>
      <c r="H9" s="16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2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21" x14ac:dyDescent="0.25">
      <c r="A11" s="9" t="s">
        <v>166</v>
      </c>
      <c r="B11" s="9" t="s">
        <v>167</v>
      </c>
      <c r="C11" s="9" t="s">
        <v>143</v>
      </c>
      <c r="D11" s="9" t="s">
        <v>144</v>
      </c>
      <c r="E11" s="9" t="s">
        <v>168</v>
      </c>
      <c r="F11" s="9" t="s">
        <v>169</v>
      </c>
      <c r="G11" s="9" t="s">
        <v>170</v>
      </c>
      <c r="H11" s="9" t="s">
        <v>171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21" x14ac:dyDescent="0.25">
      <c r="A12" s="10" t="s">
        <v>161</v>
      </c>
      <c r="B12" s="10">
        <f>C5</f>
        <v>862624.52</v>
      </c>
      <c r="C12" s="10">
        <f t="shared" ref="C12:C15" si="0">J5</f>
        <v>10932</v>
      </c>
      <c r="D12" s="11">
        <f t="shared" ref="D12:D15" si="1">C12/B12</f>
        <v>1.267295300161419E-2</v>
      </c>
      <c r="E12" s="11">
        <f>C12/(B12+C12)</f>
        <v>1.2514359116683142E-2</v>
      </c>
      <c r="F12" s="11">
        <f>tax_rate</f>
        <v>0.28000000000000003</v>
      </c>
      <c r="G12" s="10">
        <f t="shared" ref="G12:G15" si="2">G5</f>
        <v>0.8</v>
      </c>
      <c r="H12" s="33">
        <f>G12/(1+D12*(1-F12))</f>
        <v>0.79276638240406427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21" x14ac:dyDescent="0.25">
      <c r="A13" s="10" t="s">
        <v>162</v>
      </c>
      <c r="B13" s="10">
        <f t="shared" ref="B13:B15" si="3">C6</f>
        <v>375693.33</v>
      </c>
      <c r="C13" s="10">
        <f t="shared" si="0"/>
        <v>6780</v>
      </c>
      <c r="D13" s="11">
        <f t="shared" si="1"/>
        <v>1.8046633939442044E-2</v>
      </c>
      <c r="E13" s="11">
        <f t="shared" ref="E13:E15" si="4">C13/(B13+C13)</f>
        <v>1.772672620075235E-2</v>
      </c>
      <c r="F13" s="11">
        <f>tax_rate</f>
        <v>0.28000000000000003</v>
      </c>
      <c r="G13" s="10">
        <f t="shared" si="2"/>
        <v>1</v>
      </c>
      <c r="H13" s="33">
        <f t="shared" ref="H13:H15" si="5">G13/(1+D13*(1-F13))</f>
        <v>0.98717309098631389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21" x14ac:dyDescent="0.25">
      <c r="A14" s="10" t="s">
        <v>163</v>
      </c>
      <c r="B14" s="10">
        <f t="shared" si="3"/>
        <v>198126.12</v>
      </c>
      <c r="C14" s="10">
        <f t="shared" si="0"/>
        <v>16164</v>
      </c>
      <c r="D14" s="11">
        <f t="shared" si="1"/>
        <v>8.1584396847826021E-2</v>
      </c>
      <c r="E14" s="11">
        <f t="shared" si="4"/>
        <v>7.5430449149965481E-2</v>
      </c>
      <c r="F14" s="11">
        <f>tax_rate</f>
        <v>0.28000000000000003</v>
      </c>
      <c r="G14" s="10">
        <f t="shared" si="2"/>
        <v>0.8</v>
      </c>
      <c r="H14" s="33">
        <f t="shared" si="5"/>
        <v>0.75561461870042657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21" x14ac:dyDescent="0.25">
      <c r="A15" s="10" t="s">
        <v>172</v>
      </c>
      <c r="B15" s="10">
        <f t="shared" si="3"/>
        <v>138050</v>
      </c>
      <c r="C15" s="10">
        <f t="shared" si="0"/>
        <v>1954</v>
      </c>
      <c r="D15" s="11">
        <f t="shared" si="1"/>
        <v>1.4154291923216227E-2</v>
      </c>
      <c r="E15" s="11">
        <f t="shared" si="4"/>
        <v>1.3956744093025913E-2</v>
      </c>
      <c r="F15" s="11">
        <f>tax_rate</f>
        <v>0.28000000000000003</v>
      </c>
      <c r="G15" s="10">
        <f t="shared" si="2"/>
        <v>0.9</v>
      </c>
      <c r="H15" s="33">
        <f t="shared" si="5"/>
        <v>0.89092054834440582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21" x14ac:dyDescent="0.25">
      <c r="A16" s="9" t="s">
        <v>173</v>
      </c>
      <c r="B16" s="9"/>
      <c r="C16" s="9"/>
      <c r="D16" s="34">
        <f>AVERAGE(D12:D15)</f>
        <v>3.1614568928024625E-2</v>
      </c>
      <c r="E16" s="34">
        <f t="shared" ref="E16:H16" si="6">AVERAGE(E12:E15)</f>
        <v>2.9907069640106723E-2</v>
      </c>
      <c r="F16" s="34">
        <f t="shared" si="6"/>
        <v>0.28000000000000003</v>
      </c>
      <c r="G16" s="35">
        <f t="shared" si="6"/>
        <v>0.875</v>
      </c>
      <c r="H16" s="35">
        <f t="shared" si="6"/>
        <v>0.85661866010880261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21" x14ac:dyDescent="0.25">
      <c r="A17" s="9" t="s">
        <v>174</v>
      </c>
      <c r="B17" s="9"/>
      <c r="C17" s="9"/>
      <c r="D17" s="34">
        <f t="shared" ref="D17:H17" si="7">MEDIAN(D12:D15)</f>
        <v>1.6100462931329135E-2</v>
      </c>
      <c r="E17" s="34">
        <f t="shared" si="7"/>
        <v>1.5841735146889132E-2</v>
      </c>
      <c r="F17" s="34">
        <f t="shared" si="7"/>
        <v>0.28000000000000003</v>
      </c>
      <c r="G17" s="35">
        <f t="shared" si="7"/>
        <v>0.85000000000000009</v>
      </c>
      <c r="H17" s="35">
        <f t="shared" si="7"/>
        <v>0.84184346537423504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2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2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2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2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2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2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2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2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2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2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2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2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2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2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2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2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2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2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2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2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2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2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2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2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2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2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2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2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2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2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2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2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2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2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2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2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2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2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2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2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2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2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2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2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2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2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2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2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2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2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2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2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2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2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2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2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2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2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2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2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2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2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2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2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2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2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2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2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2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2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2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2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2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2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2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2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2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2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2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2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2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2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2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2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2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2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2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2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2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2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2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2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2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2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2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2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2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2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2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2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2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2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2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2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2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2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2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2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2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2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2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2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2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2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2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2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2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2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2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2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2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2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2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2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2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2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2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2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2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2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2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2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2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2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2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2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2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2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2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2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2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2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2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2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2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2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2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2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2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2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2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2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2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2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2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2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2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2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2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2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2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2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2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2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2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2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2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2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2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2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2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2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2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2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2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2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2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2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2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2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2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2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2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2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2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2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2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2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2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2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2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2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2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2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2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2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2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2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2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2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2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2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2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2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2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2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2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2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2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2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2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2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2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2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2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2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2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2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2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2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2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2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2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2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2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2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2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2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2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2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2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2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2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2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2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2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2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2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2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2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2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2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2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2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2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2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2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2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2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2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2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2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2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2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2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2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2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2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2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2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2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2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2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2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2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2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2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2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2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2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2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2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2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2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2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2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2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2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2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2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2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2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2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2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2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2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2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2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2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2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2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2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2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2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2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2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2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2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2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2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2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2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2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2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2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2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2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2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2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2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2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2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2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2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2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2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2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2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2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2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2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2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2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2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2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2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2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2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2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2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2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2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2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2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2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2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2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2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2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2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2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2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2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2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2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2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2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2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2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2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2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2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2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2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2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2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2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2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2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2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2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2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2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2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2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2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2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2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2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2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2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2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2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2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2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2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2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2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2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2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2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2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2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2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2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2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2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2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2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2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2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2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2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2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2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2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2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2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2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2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2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2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2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2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2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2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2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2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2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2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2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2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2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2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2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2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2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2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2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2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2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2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2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2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2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2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2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2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2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2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2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2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2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2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2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2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2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2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2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2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2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2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2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2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2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2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2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2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2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2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2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2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2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2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2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2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2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2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2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2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2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2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2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2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2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2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2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2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2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2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2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2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2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2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2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2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2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2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2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2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2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2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2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2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2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2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2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2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2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2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2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2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2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2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2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2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2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2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2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2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2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2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2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2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2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2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2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2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2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2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2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2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2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2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2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2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2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2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2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2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2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2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2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2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2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2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2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2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2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2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2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2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2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2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2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2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2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2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2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2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2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2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2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2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2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2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2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2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2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2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2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2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2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2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2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2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2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2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2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2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2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2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2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2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2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2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2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2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2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2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2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2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2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2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2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2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2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2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2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2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2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2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2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2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2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2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2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2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2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2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2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2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2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2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2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2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2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2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2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2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2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2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2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2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2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2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2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2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2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2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2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2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2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2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2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2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2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2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2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2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2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2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2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2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2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2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2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2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2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2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2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2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2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2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2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2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2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2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2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2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2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2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2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2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2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2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2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2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2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2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2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2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2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2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2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2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2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2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2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2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2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2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2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2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2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2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2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2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2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2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2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2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2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2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2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2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2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2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2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2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2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2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2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2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2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2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2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2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2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2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2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2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2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2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2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2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2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2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2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2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2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2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2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2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2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2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2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2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2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2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2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2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2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2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2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2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2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2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2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2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2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2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2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2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2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2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2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2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2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2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2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2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2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2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2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2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2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2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2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2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2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2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2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2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2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2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2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2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2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2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2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2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2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2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2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2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2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2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2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2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2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2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2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2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2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2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2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2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2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2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2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2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2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2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2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2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2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2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2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2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2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2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2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2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2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2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2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2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2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2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2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2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2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2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2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2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2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2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2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2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2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2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2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2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2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2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2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2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2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2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2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2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2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2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2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2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2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2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2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2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2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2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2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2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2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2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2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2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2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2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2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2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2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2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2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2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2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2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2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2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2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2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2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2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2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2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2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2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2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2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2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2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2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2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2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2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2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2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2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2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2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2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2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2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2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2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2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2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2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2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2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2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2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2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2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2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2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2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2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2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2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2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2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2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2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2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2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2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2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2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2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2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2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2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2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2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2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2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2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2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2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2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2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2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2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2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2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2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2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2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2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2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2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2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2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2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2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2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2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2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2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2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2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2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2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2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2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2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2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2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2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2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2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2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2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2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2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2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2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2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2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2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2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2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2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2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2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2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2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2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2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2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2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2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2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2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2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2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2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2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2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2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2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2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2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2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2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2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2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2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2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2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2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2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2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2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2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2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2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2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2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2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2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  <row r="1001" spans="1:33" ht="21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</row>
    <row r="1002" spans="1:33" ht="21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</row>
    <row r="1003" spans="1:33" ht="21" x14ac:dyDescent="0.2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</row>
    <row r="1004" spans="1:33" ht="21" x14ac:dyDescent="0.2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</row>
    <row r="1005" spans="1:33" ht="21" x14ac:dyDescent="0.2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spans="1:33" ht="21" x14ac:dyDescent="0.2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</row>
    <row r="1007" spans="1:33" ht="21" x14ac:dyDescent="0.2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</row>
    <row r="1008" spans="1:33" ht="21" x14ac:dyDescent="0.2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</row>
    <row r="1009" spans="1:33" ht="21" x14ac:dyDescent="0.2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</row>
    <row r="1010" spans="1:33" ht="21" x14ac:dyDescent="0.2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</row>
    <row r="1011" spans="1:33" ht="21" x14ac:dyDescent="0.2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</row>
    <row r="1012" spans="1:33" ht="21" x14ac:dyDescent="0.2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</row>
    <row r="1013" spans="1:33" ht="21" x14ac:dyDescent="0.2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</row>
    <row r="1014" spans="1:33" ht="21" x14ac:dyDescent="0.25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</row>
    <row r="1015" spans="1:33" ht="21" x14ac:dyDescent="0.2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</row>
    <row r="1016" spans="1:33" ht="21" x14ac:dyDescent="0.25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</row>
    <row r="1017" spans="1:33" ht="21" x14ac:dyDescent="0.25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</row>
    <row r="1018" spans="1:33" ht="21" x14ac:dyDescent="0.25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 spans="1:33" ht="21" x14ac:dyDescent="0.25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</row>
    <row r="1020" spans="1:33" ht="21" x14ac:dyDescent="0.25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</row>
    <row r="1021" spans="1:33" ht="21" x14ac:dyDescent="0.25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</row>
    <row r="1022" spans="1:33" ht="21" x14ac:dyDescent="0.25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</row>
    <row r="1023" spans="1:33" ht="21" x14ac:dyDescent="0.25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</row>
    <row r="1024" spans="1:33" ht="21" x14ac:dyDescent="0.25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</row>
    <row r="1025" spans="1:33" ht="21" x14ac:dyDescent="0.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</row>
    <row r="1026" spans="1:33" ht="21" x14ac:dyDescent="0.25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</row>
    <row r="1027" spans="1:33" ht="21" x14ac:dyDescent="0.25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</row>
    <row r="1028" spans="1:33" ht="21" x14ac:dyDescent="0.25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</row>
    <row r="1029" spans="1:33" ht="21" x14ac:dyDescent="0.25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</row>
    <row r="1030" spans="1:33" ht="21" x14ac:dyDescent="0.25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</row>
    <row r="1031" spans="1:33" ht="21" x14ac:dyDescent="0.25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</row>
    <row r="1032" spans="1:33" ht="21" x14ac:dyDescent="0.25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</row>
    <row r="1033" spans="1:33" ht="21" x14ac:dyDescent="0.25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</row>
    <row r="1034" spans="1:33" ht="21" x14ac:dyDescent="0.25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</row>
    <row r="1035" spans="1:33" ht="21" x14ac:dyDescent="0.2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</row>
    <row r="1036" spans="1:33" ht="21" x14ac:dyDescent="0.25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</row>
    <row r="1037" spans="1:33" ht="21" x14ac:dyDescent="0.25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</row>
    <row r="1038" spans="1:33" ht="21" x14ac:dyDescent="0.25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</row>
    <row r="1039" spans="1:33" ht="21" x14ac:dyDescent="0.25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</row>
    <row r="1040" spans="1:33" ht="21" x14ac:dyDescent="0.25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</row>
    <row r="1041" spans="1:33" ht="21" x14ac:dyDescent="0.25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</row>
    <row r="1042" spans="1:33" ht="21" x14ac:dyDescent="0.25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</row>
    <row r="1043" spans="1:33" ht="21" x14ac:dyDescent="0.25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</row>
    <row r="1044" spans="1:33" ht="21" x14ac:dyDescent="0.25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</row>
    <row r="1045" spans="1:33" ht="21" x14ac:dyDescent="0.2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</row>
    <row r="1046" spans="1:33" ht="21" x14ac:dyDescent="0.25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</row>
    <row r="1047" spans="1:33" ht="21" x14ac:dyDescent="0.25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</row>
    <row r="1048" spans="1:33" ht="21" x14ac:dyDescent="0.25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</row>
    <row r="1049" spans="1:33" ht="21" x14ac:dyDescent="0.25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</row>
    <row r="1050" spans="1:33" ht="21" x14ac:dyDescent="0.25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</row>
    <row r="1051" spans="1:33" ht="21" x14ac:dyDescent="0.25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</row>
    <row r="1052" spans="1:33" ht="21" x14ac:dyDescent="0.25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</row>
    <row r="1053" spans="1:33" ht="21" x14ac:dyDescent="0.25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</row>
    <row r="1054" spans="1:33" ht="21" x14ac:dyDescent="0.25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</row>
    <row r="1055" spans="1:33" ht="21" x14ac:dyDescent="0.2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</row>
    <row r="1056" spans="1:33" ht="21" x14ac:dyDescent="0.25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</row>
    <row r="1057" spans="1:33" ht="21" x14ac:dyDescent="0.25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</row>
    <row r="1058" spans="1:33" ht="21" x14ac:dyDescent="0.25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</row>
    <row r="1059" spans="1:33" ht="21" x14ac:dyDescent="0.25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</row>
    <row r="1060" spans="1:33" ht="21" x14ac:dyDescent="0.25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</row>
    <row r="1061" spans="1:33" ht="21" x14ac:dyDescent="0.25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</row>
    <row r="1062" spans="1:33" ht="21" x14ac:dyDescent="0.25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</row>
    <row r="1063" spans="1:33" ht="21" x14ac:dyDescent="0.25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</row>
    <row r="1064" spans="1:33" ht="21" x14ac:dyDescent="0.25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</row>
    <row r="1065" spans="1:33" ht="21" x14ac:dyDescent="0.2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</row>
    <row r="1066" spans="1:33" ht="21" x14ac:dyDescent="0.25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</row>
    <row r="1067" spans="1:33" ht="21" x14ac:dyDescent="0.25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</row>
    <row r="1068" spans="1:33" ht="21" x14ac:dyDescent="0.25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</row>
    <row r="1069" spans="1:33" ht="21" x14ac:dyDescent="0.25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</row>
    <row r="1070" spans="1:33" ht="21" x14ac:dyDescent="0.25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</row>
    <row r="1071" spans="1:33" ht="21" x14ac:dyDescent="0.25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</row>
    <row r="1072" spans="1:33" ht="21" x14ac:dyDescent="0.25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</row>
    <row r="1073" spans="1:33" ht="21" x14ac:dyDescent="0.25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</row>
    <row r="1074" spans="1:33" ht="21" x14ac:dyDescent="0.25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</row>
    <row r="1075" spans="1:33" ht="21" x14ac:dyDescent="0.2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</row>
    <row r="1076" spans="1:33" ht="21" x14ac:dyDescent="0.25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</row>
    <row r="1077" spans="1:33" ht="21" x14ac:dyDescent="0.25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</row>
    <row r="1078" spans="1:33" ht="21" x14ac:dyDescent="0.25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</row>
    <row r="1079" spans="1:33" ht="21" x14ac:dyDescent="0.25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</row>
    <row r="1080" spans="1:33" ht="21" x14ac:dyDescent="0.25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</row>
    <row r="1081" spans="1:33" ht="21" x14ac:dyDescent="0.25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</row>
    <row r="1082" spans="1:33" ht="21" x14ac:dyDescent="0.25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</row>
    <row r="1083" spans="1:33" ht="21" x14ac:dyDescent="0.25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</row>
    <row r="1084" spans="1:33" ht="21" x14ac:dyDescent="0.25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</row>
    <row r="1085" spans="1:33" ht="21" x14ac:dyDescent="0.2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</row>
    <row r="1086" spans="1:33" ht="21" x14ac:dyDescent="0.25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</row>
    <row r="1087" spans="1:33" ht="21" x14ac:dyDescent="0.25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</row>
    <row r="1088" spans="1:33" ht="21" x14ac:dyDescent="0.25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</row>
    <row r="1089" spans="1:33" ht="21" x14ac:dyDescent="0.25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</row>
    <row r="1090" spans="1:33" ht="21" x14ac:dyDescent="0.25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</row>
    <row r="1091" spans="1:33" ht="21" x14ac:dyDescent="0.25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</row>
    <row r="1092" spans="1:33" ht="21" x14ac:dyDescent="0.25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</row>
    <row r="1093" spans="1:33" ht="21" x14ac:dyDescent="0.25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</row>
    <row r="1094" spans="1:33" ht="21" x14ac:dyDescent="0.25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</row>
    <row r="1095" spans="1:33" ht="21" x14ac:dyDescent="0.2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</row>
    <row r="1096" spans="1:33" ht="21" x14ac:dyDescent="0.25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</row>
    <row r="1097" spans="1:33" ht="21" x14ac:dyDescent="0.25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</row>
    <row r="1098" spans="1:33" ht="21" x14ac:dyDescent="0.25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</row>
    <row r="1099" spans="1:33" ht="21" x14ac:dyDescent="0.25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</row>
    <row r="1100" spans="1:33" ht="21" x14ac:dyDescent="0.25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</row>
    <row r="1101" spans="1:33" ht="21" x14ac:dyDescent="0.25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</row>
    <row r="1102" spans="1:33" ht="21" x14ac:dyDescent="0.25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</row>
    <row r="1103" spans="1:33" ht="21" x14ac:dyDescent="0.25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</row>
    <row r="1104" spans="1:33" ht="21" x14ac:dyDescent="0.25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</row>
    <row r="1105" spans="1:33" ht="21" x14ac:dyDescent="0.2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</row>
    <row r="1106" spans="1:33" ht="21" x14ac:dyDescent="0.25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</row>
    <row r="1107" spans="1:33" ht="21" x14ac:dyDescent="0.25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</row>
    <row r="1108" spans="1:33" ht="21" x14ac:dyDescent="0.25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</row>
    <row r="1109" spans="1:33" ht="21" x14ac:dyDescent="0.25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</row>
    <row r="1110" spans="1:33" ht="21" x14ac:dyDescent="0.25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</row>
    <row r="1111" spans="1:33" ht="21" x14ac:dyDescent="0.25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</row>
    <row r="1112" spans="1:33" ht="21" x14ac:dyDescent="0.25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</row>
    <row r="1113" spans="1:33" ht="21" x14ac:dyDescent="0.25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</row>
    <row r="1114" spans="1:33" ht="21" x14ac:dyDescent="0.25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</row>
    <row r="1115" spans="1:33" ht="21" x14ac:dyDescent="0.2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</row>
    <row r="1116" spans="1:33" ht="21" x14ac:dyDescent="0.25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</row>
    <row r="1117" spans="1:33" ht="21" x14ac:dyDescent="0.25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</row>
    <row r="1118" spans="1:33" ht="21" x14ac:dyDescent="0.25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</row>
    <row r="1119" spans="1:33" ht="21" x14ac:dyDescent="0.25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</row>
    <row r="1120" spans="1:33" ht="21" x14ac:dyDescent="0.25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</row>
    <row r="1121" spans="1:33" ht="21" x14ac:dyDescent="0.25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</row>
    <row r="1122" spans="1:33" ht="21" x14ac:dyDescent="0.25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</row>
    <row r="1123" spans="1:33" ht="21" x14ac:dyDescent="0.25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</row>
    <row r="1124" spans="1:33" ht="21" x14ac:dyDescent="0.25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</row>
    <row r="1125" spans="1:33" ht="21" x14ac:dyDescent="0.25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</row>
    <row r="1126" spans="1:33" ht="21" x14ac:dyDescent="0.25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</row>
    <row r="1127" spans="1:33" ht="21" x14ac:dyDescent="0.25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</row>
    <row r="1128" spans="1:33" ht="21" x14ac:dyDescent="0.25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</row>
    <row r="1129" spans="1:33" ht="21" x14ac:dyDescent="0.25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</row>
    <row r="1130" spans="1:33" ht="21" x14ac:dyDescent="0.25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</row>
    <row r="1131" spans="1:33" ht="21" x14ac:dyDescent="0.25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</row>
    <row r="1132" spans="1:33" ht="21" x14ac:dyDescent="0.25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</row>
    <row r="1133" spans="1:33" ht="21" x14ac:dyDescent="0.25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</row>
    <row r="1134" spans="1:33" ht="21" x14ac:dyDescent="0.25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</row>
    <row r="1135" spans="1:33" ht="21" x14ac:dyDescent="0.25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</row>
    <row r="1136" spans="1:33" ht="21" x14ac:dyDescent="0.25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</row>
    <row r="1137" spans="1:33" ht="21" x14ac:dyDescent="0.25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</row>
    <row r="1138" spans="1:33" ht="21" x14ac:dyDescent="0.25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</row>
    <row r="1139" spans="1:33" ht="21" x14ac:dyDescent="0.25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</row>
    <row r="1140" spans="1:33" ht="21" x14ac:dyDescent="0.25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</row>
    <row r="1141" spans="1:33" ht="21" x14ac:dyDescent="0.25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</row>
    <row r="1142" spans="1:33" ht="21" x14ac:dyDescent="0.25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</row>
    <row r="1143" spans="1:33" ht="21" x14ac:dyDescent="0.25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</row>
    <row r="1144" spans="1:33" ht="21" x14ac:dyDescent="0.25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</row>
    <row r="1145" spans="1:33" ht="21" x14ac:dyDescent="0.25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</row>
    <row r="1146" spans="1:33" ht="21" x14ac:dyDescent="0.25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</row>
    <row r="1147" spans="1:33" ht="21" x14ac:dyDescent="0.25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</row>
    <row r="1148" spans="1:33" ht="21" x14ac:dyDescent="0.25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</row>
    <row r="1149" spans="1:33" ht="21" x14ac:dyDescent="0.25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</row>
    <row r="1150" spans="1:33" ht="21" x14ac:dyDescent="0.25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</row>
    <row r="1151" spans="1:33" ht="21" x14ac:dyDescent="0.25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</row>
    <row r="1152" spans="1:33" ht="21" x14ac:dyDescent="0.25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</row>
    <row r="1153" spans="1:33" ht="21" x14ac:dyDescent="0.25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</row>
    <row r="1154" spans="1:33" ht="21" x14ac:dyDescent="0.25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</row>
    <row r="1155" spans="1:33" ht="21" x14ac:dyDescent="0.25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</row>
    <row r="1156" spans="1:33" ht="21" x14ac:dyDescent="0.25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</row>
    <row r="1157" spans="1:33" ht="21" x14ac:dyDescent="0.25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</row>
    <row r="1158" spans="1:33" ht="21" x14ac:dyDescent="0.25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</row>
    <row r="1159" spans="1:33" ht="21" x14ac:dyDescent="0.25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</row>
    <row r="1160" spans="1:33" ht="21" x14ac:dyDescent="0.25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</row>
    <row r="1161" spans="1:33" ht="21" x14ac:dyDescent="0.25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</row>
    <row r="1162" spans="1:33" ht="21" x14ac:dyDescent="0.25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</row>
    <row r="1163" spans="1:33" ht="21" x14ac:dyDescent="0.25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</row>
    <row r="1164" spans="1:33" ht="21" x14ac:dyDescent="0.25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</row>
    <row r="1165" spans="1:33" ht="21" x14ac:dyDescent="0.25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</row>
    <row r="1166" spans="1:33" ht="21" x14ac:dyDescent="0.25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</row>
    <row r="1167" spans="1:33" ht="21" x14ac:dyDescent="0.25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</row>
    <row r="1168" spans="1:33" ht="21" x14ac:dyDescent="0.25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</row>
    <row r="1169" spans="1:33" ht="21" x14ac:dyDescent="0.25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</row>
    <row r="1170" spans="1:33" ht="21" x14ac:dyDescent="0.25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</row>
    <row r="1171" spans="1:33" ht="21" x14ac:dyDescent="0.25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</row>
    <row r="1172" spans="1:33" ht="21" x14ac:dyDescent="0.25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</row>
    <row r="1173" spans="1:33" ht="21" x14ac:dyDescent="0.25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</row>
    <row r="1174" spans="1:33" ht="21" x14ac:dyDescent="0.25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</row>
    <row r="1175" spans="1:33" ht="21" x14ac:dyDescent="0.25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</row>
    <row r="1176" spans="1:33" ht="21" x14ac:dyDescent="0.25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</row>
    <row r="1177" spans="1:33" ht="21" x14ac:dyDescent="0.25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</row>
    <row r="1178" spans="1:33" ht="21" x14ac:dyDescent="0.25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</row>
    <row r="1179" spans="1:33" ht="21" x14ac:dyDescent="0.25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</row>
    <row r="1180" spans="1:33" ht="21" x14ac:dyDescent="0.25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</row>
    <row r="1181" spans="1:33" ht="21" x14ac:dyDescent="0.25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</row>
    <row r="1182" spans="1:33" ht="21" x14ac:dyDescent="0.25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</row>
    <row r="1183" spans="1:33" ht="21" x14ac:dyDescent="0.25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</row>
    <row r="1184" spans="1:33" ht="21" x14ac:dyDescent="0.25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</row>
    <row r="1185" spans="1:33" ht="21" x14ac:dyDescent="0.25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</row>
    <row r="1186" spans="1:33" ht="21" x14ac:dyDescent="0.25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</row>
    <row r="1187" spans="1:33" ht="21" x14ac:dyDescent="0.25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</row>
    <row r="1188" spans="1:33" ht="21" x14ac:dyDescent="0.25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</row>
    <row r="1189" spans="1:33" ht="21" x14ac:dyDescent="0.25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</row>
    <row r="1190" spans="1:33" ht="21" x14ac:dyDescent="0.25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</row>
    <row r="1191" spans="1:33" ht="21" x14ac:dyDescent="0.25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</row>
    <row r="1192" spans="1:33" ht="21" x14ac:dyDescent="0.25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</row>
    <row r="1193" spans="1:33" ht="21" x14ac:dyDescent="0.25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</row>
    <row r="1194" spans="1:33" ht="21" x14ac:dyDescent="0.25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</row>
    <row r="1195" spans="1:33" ht="21" x14ac:dyDescent="0.25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</row>
    <row r="1196" spans="1:33" ht="21" x14ac:dyDescent="0.25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</row>
    <row r="1197" spans="1:33" ht="21" x14ac:dyDescent="0.25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</row>
    <row r="1198" spans="1:33" ht="21" x14ac:dyDescent="0.25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</row>
    <row r="1199" spans="1:33" ht="21" x14ac:dyDescent="0.25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</row>
    <row r="1200" spans="1:33" ht="21" x14ac:dyDescent="0.25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</row>
    <row r="1201" spans="1:33" ht="21" x14ac:dyDescent="0.25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</row>
    <row r="1202" spans="1:33" ht="21" x14ac:dyDescent="0.25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</row>
    <row r="1203" spans="1:33" ht="21" x14ac:dyDescent="0.25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</row>
    <row r="1204" spans="1:33" ht="21" x14ac:dyDescent="0.25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</row>
    <row r="1205" spans="1:33" ht="21" x14ac:dyDescent="0.25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</row>
    <row r="1206" spans="1:33" ht="21" x14ac:dyDescent="0.25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</row>
    <row r="1207" spans="1:33" ht="21" x14ac:dyDescent="0.25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</row>
    <row r="1208" spans="1:33" ht="21" x14ac:dyDescent="0.25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</row>
    <row r="1209" spans="1:33" ht="21" x14ac:dyDescent="0.25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</row>
    <row r="1210" spans="1:33" ht="21" x14ac:dyDescent="0.25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</row>
    <row r="1211" spans="1:33" ht="21" x14ac:dyDescent="0.25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</row>
    <row r="1212" spans="1:33" ht="21" x14ac:dyDescent="0.25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</row>
    <row r="1213" spans="1:33" ht="21" x14ac:dyDescent="0.25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</row>
    <row r="1214" spans="1:33" ht="21" x14ac:dyDescent="0.25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</row>
    <row r="1215" spans="1:33" ht="21" x14ac:dyDescent="0.25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</row>
    <row r="1216" spans="1:33" ht="21" x14ac:dyDescent="0.25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</row>
    <row r="1217" spans="1:33" ht="21" x14ac:dyDescent="0.25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</row>
    <row r="1218" spans="1:33" ht="21" x14ac:dyDescent="0.25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</row>
    <row r="1219" spans="1:33" ht="21" x14ac:dyDescent="0.25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</row>
    <row r="1220" spans="1:33" ht="21" x14ac:dyDescent="0.25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</row>
    <row r="1221" spans="1:33" ht="21" x14ac:dyDescent="0.25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</row>
    <row r="1222" spans="1:33" ht="21" x14ac:dyDescent="0.25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</row>
    <row r="1223" spans="1:33" ht="21" x14ac:dyDescent="0.25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</row>
    <row r="1224" spans="1:33" ht="21" x14ac:dyDescent="0.25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</row>
    <row r="1225" spans="1:33" ht="21" x14ac:dyDescent="0.25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</row>
    <row r="1226" spans="1:33" ht="21" x14ac:dyDescent="0.25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</row>
    <row r="1227" spans="1:33" ht="21" x14ac:dyDescent="0.25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</row>
    <row r="1228" spans="1:33" ht="21" x14ac:dyDescent="0.25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</row>
    <row r="1229" spans="1:33" ht="21" x14ac:dyDescent="0.25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</row>
    <row r="1230" spans="1:33" ht="21" x14ac:dyDescent="0.25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</row>
    <row r="1231" spans="1:33" ht="21" x14ac:dyDescent="0.25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</row>
    <row r="1232" spans="1:33" ht="21" x14ac:dyDescent="0.25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G86" sqref="G86"/>
    </sheetView>
  </sheetViews>
  <sheetFormatPr baseColWidth="10" defaultColWidth="8.83203125" defaultRowHeight="15" outlineLevelRow="1" x14ac:dyDescent="0.2"/>
  <cols>
    <col min="1" max="1" width="27.6640625" style="2" bestFit="1" customWidth="1"/>
    <col min="2" max="11" width="13.5" style="2" bestFit="1" customWidth="1"/>
    <col min="12" max="16384" width="8.83203125" style="2"/>
  </cols>
  <sheetData>
    <row r="1" spans="1:11" s="1" customFormat="1" x14ac:dyDescent="0.2">
      <c r="A1" s="1" t="s">
        <v>0</v>
      </c>
      <c r="B1" s="1" t="s">
        <v>32</v>
      </c>
      <c r="E1" s="90" t="str">
        <f>IF(B2&lt;&gt;B3, "A NEW VERSION OF THE WORKSHEET IS AVAILABLE", "")</f>
        <v/>
      </c>
      <c r="F1" s="90"/>
      <c r="G1" s="90"/>
      <c r="H1" s="90"/>
      <c r="I1" s="90"/>
      <c r="J1" s="90"/>
      <c r="K1" s="90"/>
    </row>
    <row r="2" spans="1:11" x14ac:dyDescent="0.2">
      <c r="A2" s="1" t="s">
        <v>30</v>
      </c>
      <c r="B2" s="2">
        <v>2.1</v>
      </c>
      <c r="E2" s="91" t="s">
        <v>21</v>
      </c>
      <c r="F2" s="91"/>
      <c r="G2" s="91"/>
      <c r="H2" s="91"/>
      <c r="I2" s="91"/>
      <c r="J2" s="91"/>
      <c r="K2" s="91"/>
    </row>
    <row r="3" spans="1:11" x14ac:dyDescent="0.2">
      <c r="A3" s="1" t="s">
        <v>31</v>
      </c>
      <c r="B3" s="2">
        <v>2.1</v>
      </c>
    </row>
    <row r="4" spans="1:11" x14ac:dyDescent="0.2">
      <c r="A4" s="1"/>
    </row>
    <row r="5" spans="1:11" x14ac:dyDescent="0.2">
      <c r="A5" s="1" t="s">
        <v>33</v>
      </c>
    </row>
    <row r="6" spans="1:11" x14ac:dyDescent="0.2">
      <c r="A6" s="2" t="s">
        <v>27</v>
      </c>
      <c r="B6" s="2">
        <f>IF(B9&gt;0, B9/B8, 0)</f>
        <v>405.55918512097088</v>
      </c>
    </row>
    <row r="7" spans="1:11" x14ac:dyDescent="0.2">
      <c r="A7" s="2" t="s">
        <v>16</v>
      </c>
      <c r="B7">
        <v>5</v>
      </c>
    </row>
    <row r="8" spans="1:11" x14ac:dyDescent="0.2">
      <c r="A8" s="2" t="s">
        <v>28</v>
      </c>
      <c r="B8">
        <v>1268.9000000000001</v>
      </c>
    </row>
    <row r="9" spans="1:11" x14ac:dyDescent="0.2">
      <c r="A9" s="2" t="s">
        <v>43</v>
      </c>
      <c r="B9">
        <v>514614.05</v>
      </c>
    </row>
    <row r="15" spans="1:11" x14ac:dyDescent="0.2">
      <c r="A15" s="1" t="s">
        <v>22</v>
      </c>
    </row>
    <row r="16" spans="1:11" s="6" customFormat="1" x14ac:dyDescent="0.2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2">
      <c r="A17" s="3" t="s">
        <v>1</v>
      </c>
      <c r="B17">
        <v>62441</v>
      </c>
      <c r="C17">
        <v>68484</v>
      </c>
      <c r="D17">
        <v>70522</v>
      </c>
      <c r="E17">
        <v>82675</v>
      </c>
      <c r="F17">
        <v>90791</v>
      </c>
      <c r="G17">
        <v>100472</v>
      </c>
      <c r="H17">
        <v>121641</v>
      </c>
      <c r="I17">
        <v>146767</v>
      </c>
      <c r="J17">
        <v>153670</v>
      </c>
      <c r="K17">
        <v>162990</v>
      </c>
    </row>
    <row r="18" spans="1:11" s="3" customFormat="1" x14ac:dyDescent="0.2">
      <c r="A18" s="2" t="s">
        <v>44</v>
      </c>
    </row>
    <row r="19" spans="1:11" s="3" customFormat="1" x14ac:dyDescent="0.2">
      <c r="A19" s="2" t="s">
        <v>45</v>
      </c>
    </row>
    <row r="20" spans="1:11" s="3" customFormat="1" x14ac:dyDescent="0.2">
      <c r="A20" s="2" t="s">
        <v>46</v>
      </c>
      <c r="B20">
        <v>217</v>
      </c>
      <c r="C20">
        <v>228</v>
      </c>
      <c r="D20">
        <v>207</v>
      </c>
      <c r="E20">
        <v>221</v>
      </c>
      <c r="F20">
        <v>229</v>
      </c>
      <c r="G20">
        <v>143</v>
      </c>
      <c r="H20">
        <v>132</v>
      </c>
      <c r="I20">
        <v>176</v>
      </c>
      <c r="J20">
        <v>199</v>
      </c>
      <c r="K20">
        <v>222</v>
      </c>
    </row>
    <row r="21" spans="1:11" s="3" customFormat="1" x14ac:dyDescent="0.2">
      <c r="A21" s="2" t="s">
        <v>47</v>
      </c>
      <c r="B21">
        <v>5860</v>
      </c>
      <c r="C21">
        <v>6712</v>
      </c>
      <c r="D21">
        <v>7286</v>
      </c>
      <c r="E21">
        <v>9902</v>
      </c>
      <c r="F21">
        <v>11086</v>
      </c>
      <c r="G21">
        <v>12800</v>
      </c>
      <c r="H21">
        <v>20690</v>
      </c>
      <c r="I21">
        <v>26330</v>
      </c>
      <c r="J21">
        <v>27195</v>
      </c>
      <c r="K21">
        <v>30395</v>
      </c>
    </row>
    <row r="22" spans="1:11" s="3" customFormat="1" x14ac:dyDescent="0.2">
      <c r="A22" s="2" t="s">
        <v>48</v>
      </c>
      <c r="B22">
        <v>34415</v>
      </c>
      <c r="C22">
        <v>37669</v>
      </c>
      <c r="D22">
        <v>38902</v>
      </c>
      <c r="E22">
        <v>45323</v>
      </c>
      <c r="F22">
        <v>50895</v>
      </c>
      <c r="G22">
        <v>55547</v>
      </c>
      <c r="H22">
        <v>63997</v>
      </c>
      <c r="I22">
        <v>78374</v>
      </c>
      <c r="J22">
        <v>82636</v>
      </c>
      <c r="K22">
        <v>85968</v>
      </c>
    </row>
    <row r="23" spans="1:11" s="3" customFormat="1" x14ac:dyDescent="0.2">
      <c r="A23" s="2" t="s">
        <v>49</v>
      </c>
      <c r="B23">
        <v>4441</v>
      </c>
      <c r="C23">
        <v>4584</v>
      </c>
      <c r="D23">
        <v>4585</v>
      </c>
      <c r="E23">
        <v>5553</v>
      </c>
      <c r="F23">
        <v>5375</v>
      </c>
      <c r="G23">
        <v>3194</v>
      </c>
      <c r="H23">
        <v>4305</v>
      </c>
      <c r="I23">
        <v>5300</v>
      </c>
      <c r="J23">
        <v>5705</v>
      </c>
      <c r="K23">
        <v>6039</v>
      </c>
    </row>
    <row r="24" spans="1:11" s="3" customFormat="1" x14ac:dyDescent="0.2">
      <c r="A24" s="2" t="s">
        <v>50</v>
      </c>
      <c r="B24">
        <v>429</v>
      </c>
      <c r="C24">
        <v>687</v>
      </c>
      <c r="D24">
        <v>720</v>
      </c>
      <c r="E24">
        <v>1506</v>
      </c>
      <c r="F24">
        <v>939</v>
      </c>
      <c r="G24">
        <v>899</v>
      </c>
      <c r="H24">
        <v>1026</v>
      </c>
      <c r="I24">
        <v>1457</v>
      </c>
      <c r="J24">
        <v>1510</v>
      </c>
      <c r="K24">
        <v>1130</v>
      </c>
    </row>
    <row r="25" spans="1:11" s="3" customFormat="1" x14ac:dyDescent="0.2">
      <c r="A25" s="3" t="s">
        <v>4</v>
      </c>
      <c r="B25">
        <v>3120</v>
      </c>
      <c r="C25">
        <v>3050</v>
      </c>
      <c r="D25">
        <v>3311</v>
      </c>
      <c r="E25">
        <v>2882</v>
      </c>
      <c r="F25">
        <v>2803</v>
      </c>
      <c r="G25">
        <v>2201</v>
      </c>
      <c r="H25">
        <v>2295</v>
      </c>
      <c r="I25">
        <v>2701</v>
      </c>
      <c r="J25">
        <v>4711</v>
      </c>
      <c r="K25">
        <v>3600</v>
      </c>
    </row>
    <row r="26" spans="1:11" s="3" customFormat="1" x14ac:dyDescent="0.2">
      <c r="A26" s="3" t="s">
        <v>5</v>
      </c>
      <c r="B26">
        <v>1459</v>
      </c>
      <c r="C26">
        <v>1703</v>
      </c>
      <c r="D26">
        <v>1863</v>
      </c>
      <c r="E26">
        <v>2011</v>
      </c>
      <c r="F26">
        <v>2893</v>
      </c>
      <c r="G26">
        <v>3267</v>
      </c>
      <c r="H26">
        <v>3476</v>
      </c>
      <c r="I26">
        <v>4225</v>
      </c>
      <c r="J26">
        <v>4678</v>
      </c>
      <c r="K26">
        <v>4812</v>
      </c>
    </row>
    <row r="27" spans="1:11" s="3" customFormat="1" x14ac:dyDescent="0.2">
      <c r="A27" s="3" t="s">
        <v>6</v>
      </c>
      <c r="F27">
        <v>170</v>
      </c>
      <c r="G27">
        <v>195</v>
      </c>
      <c r="H27">
        <v>200</v>
      </c>
      <c r="I27">
        <v>284</v>
      </c>
      <c r="J27">
        <v>470</v>
      </c>
      <c r="K27">
        <v>416</v>
      </c>
    </row>
    <row r="28" spans="1:11" s="3" customFormat="1" x14ac:dyDescent="0.2">
      <c r="A28" s="3" t="s">
        <v>7</v>
      </c>
      <c r="B28">
        <v>18740</v>
      </c>
      <c r="C28">
        <v>19951</v>
      </c>
      <c r="D28">
        <v>20270</v>
      </c>
      <c r="E28">
        <v>21041</v>
      </c>
      <c r="F28">
        <v>22007</v>
      </c>
      <c r="G28">
        <v>26628</v>
      </c>
      <c r="H28">
        <v>30110</v>
      </c>
      <c r="I28">
        <v>33322</v>
      </c>
      <c r="J28">
        <v>35988</v>
      </c>
      <c r="K28">
        <v>37608</v>
      </c>
    </row>
    <row r="29" spans="1:11" s="3" customFormat="1" x14ac:dyDescent="0.2">
      <c r="A29" s="3" t="s">
        <v>8</v>
      </c>
      <c r="B29">
        <v>5251</v>
      </c>
      <c r="C29">
        <v>5598</v>
      </c>
      <c r="D29">
        <v>4241</v>
      </c>
      <c r="E29">
        <v>5631</v>
      </c>
      <c r="F29">
        <v>5368</v>
      </c>
      <c r="G29">
        <v>7205</v>
      </c>
      <c r="H29">
        <v>7964</v>
      </c>
      <c r="I29">
        <v>9214</v>
      </c>
      <c r="J29">
        <v>9740</v>
      </c>
      <c r="K29">
        <v>10858</v>
      </c>
    </row>
    <row r="30" spans="1:11" s="3" customFormat="1" x14ac:dyDescent="0.2">
      <c r="A30" s="3" t="s">
        <v>9</v>
      </c>
      <c r="B30">
        <v>13489</v>
      </c>
      <c r="C30">
        <v>14353</v>
      </c>
      <c r="D30">
        <v>16029</v>
      </c>
      <c r="E30">
        <v>15404</v>
      </c>
      <c r="F30">
        <v>16594</v>
      </c>
      <c r="G30">
        <v>19351</v>
      </c>
      <c r="H30">
        <v>22110</v>
      </c>
      <c r="I30">
        <v>24095</v>
      </c>
      <c r="J30">
        <v>26233</v>
      </c>
      <c r="K30">
        <v>26713</v>
      </c>
    </row>
    <row r="31" spans="1:11" s="3" customFormat="1" x14ac:dyDescent="0.2">
      <c r="A31" s="3" t="s">
        <v>34</v>
      </c>
      <c r="B31">
        <v>5548.4</v>
      </c>
      <c r="C31">
        <v>5891.6</v>
      </c>
      <c r="D31">
        <v>9465.6</v>
      </c>
      <c r="E31">
        <v>9222.5</v>
      </c>
      <c r="F31">
        <v>7427</v>
      </c>
      <c r="G31">
        <v>11469.6</v>
      </c>
      <c r="H31">
        <v>13007.6</v>
      </c>
      <c r="I31">
        <v>14069.2</v>
      </c>
      <c r="J31">
        <v>19053.2</v>
      </c>
      <c r="K31">
        <v>17827.8</v>
      </c>
    </row>
    <row r="32" spans="1:11" s="3" customFormat="1" x14ac:dyDescent="0.2"/>
    <row r="33" spans="1:11" x14ac:dyDescent="0.2">
      <c r="A33" s="3"/>
    </row>
    <row r="34" spans="1:11" x14ac:dyDescent="0.2">
      <c r="A34" s="3"/>
    </row>
    <row r="35" spans="1:11" x14ac:dyDescent="0.2">
      <c r="A35" s="3"/>
    </row>
    <row r="36" spans="1:11" x14ac:dyDescent="0.2">
      <c r="A36" s="3"/>
    </row>
    <row r="37" spans="1:11" x14ac:dyDescent="0.2">
      <c r="A37" s="3"/>
    </row>
    <row r="38" spans="1:11" x14ac:dyDescent="0.2">
      <c r="A38" s="3"/>
    </row>
    <row r="39" spans="1:11" x14ac:dyDescent="0.2">
      <c r="A39" s="3"/>
    </row>
    <row r="40" spans="1:11" hidden="1" outlineLevel="1" x14ac:dyDescent="0.2">
      <c r="A40" s="1" t="s">
        <v>24</v>
      </c>
    </row>
    <row r="41" spans="1:11" s="6" customFormat="1" hidden="1" outlineLevel="1" x14ac:dyDescent="0.2">
      <c r="A41" s="5" t="s">
        <v>23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3" customFormat="1" hidden="1" outlineLevel="1" x14ac:dyDescent="0.2">
      <c r="A42" s="3" t="s">
        <v>1</v>
      </c>
      <c r="B42">
        <v>38994</v>
      </c>
      <c r="C42">
        <v>38821</v>
      </c>
      <c r="D42">
        <v>37923</v>
      </c>
      <c r="E42">
        <v>39315</v>
      </c>
      <c r="F42">
        <v>40986</v>
      </c>
      <c r="G42">
        <v>41764</v>
      </c>
      <c r="H42">
        <v>40925</v>
      </c>
      <c r="I42">
        <v>42279</v>
      </c>
      <c r="J42">
        <v>44490</v>
      </c>
      <c r="K42">
        <v>45479</v>
      </c>
    </row>
    <row r="43" spans="1:11" s="3" customFormat="1" hidden="1" outlineLevel="1" x14ac:dyDescent="0.2">
      <c r="A43" s="3" t="s">
        <v>2</v>
      </c>
      <c r="B43">
        <v>29554</v>
      </c>
      <c r="C43">
        <v>29684</v>
      </c>
      <c r="D43">
        <v>29139</v>
      </c>
      <c r="E43">
        <v>29878</v>
      </c>
      <c r="F43">
        <v>31177</v>
      </c>
      <c r="G43">
        <v>31649</v>
      </c>
      <c r="H43">
        <v>31051</v>
      </c>
      <c r="I43">
        <v>32336</v>
      </c>
      <c r="J43">
        <v>33955</v>
      </c>
      <c r="K43">
        <v>34845</v>
      </c>
    </row>
    <row r="44" spans="1:11" s="3" customFormat="1" hidden="1" outlineLevel="1" x14ac:dyDescent="0.2">
      <c r="A44" s="3" t="s">
        <v>4</v>
      </c>
      <c r="B44">
        <v>632</v>
      </c>
      <c r="C44">
        <v>789</v>
      </c>
      <c r="D44">
        <v>2729</v>
      </c>
      <c r="E44">
        <v>838</v>
      </c>
      <c r="F44">
        <v>712</v>
      </c>
      <c r="G44">
        <v>859</v>
      </c>
      <c r="H44">
        <v>1190</v>
      </c>
      <c r="I44">
        <v>1042</v>
      </c>
      <c r="J44">
        <v>982</v>
      </c>
      <c r="K44">
        <v>-150</v>
      </c>
    </row>
    <row r="45" spans="1:11" s="3" customFormat="1" hidden="1" outlineLevel="1" x14ac:dyDescent="0.2">
      <c r="A45" s="3" t="s">
        <v>5</v>
      </c>
      <c r="B45">
        <v>1166</v>
      </c>
      <c r="C45">
        <v>1176</v>
      </c>
      <c r="D45">
        <v>1163</v>
      </c>
      <c r="E45">
        <v>1149</v>
      </c>
      <c r="F45">
        <v>1160</v>
      </c>
      <c r="G45">
        <v>1203</v>
      </c>
      <c r="H45">
        <v>1299</v>
      </c>
      <c r="I45">
        <v>1140</v>
      </c>
      <c r="J45">
        <v>1182</v>
      </c>
      <c r="K45">
        <v>1155</v>
      </c>
    </row>
    <row r="46" spans="1:11" s="3" customFormat="1" hidden="1" outlineLevel="1" x14ac:dyDescent="0.2">
      <c r="A46" s="3" t="s">
        <v>6</v>
      </c>
      <c r="B46">
        <v>138</v>
      </c>
      <c r="C46">
        <v>131</v>
      </c>
      <c r="D46">
        <v>110</v>
      </c>
      <c r="E46">
        <v>105</v>
      </c>
      <c r="F46">
        <v>108</v>
      </c>
      <c r="G46">
        <v>101</v>
      </c>
      <c r="H46">
        <v>102</v>
      </c>
      <c r="I46">
        <v>105</v>
      </c>
      <c r="J46">
        <v>106</v>
      </c>
      <c r="K46">
        <v>100</v>
      </c>
    </row>
    <row r="47" spans="1:11" s="3" customFormat="1" hidden="1" outlineLevel="1" x14ac:dyDescent="0.2">
      <c r="A47" s="3" t="s">
        <v>7</v>
      </c>
      <c r="B47">
        <v>8768</v>
      </c>
      <c r="C47">
        <v>8619</v>
      </c>
      <c r="D47">
        <v>10240</v>
      </c>
      <c r="E47">
        <v>9021</v>
      </c>
      <c r="F47">
        <v>9253</v>
      </c>
      <c r="G47">
        <v>9670</v>
      </c>
      <c r="H47">
        <v>9663</v>
      </c>
      <c r="I47">
        <v>9740</v>
      </c>
      <c r="J47">
        <v>10229</v>
      </c>
      <c r="K47">
        <v>9229</v>
      </c>
    </row>
    <row r="48" spans="1:11" s="3" customFormat="1" hidden="1" outlineLevel="1" x14ac:dyDescent="0.2">
      <c r="A48" s="3" t="s">
        <v>8</v>
      </c>
      <c r="B48">
        <v>2553</v>
      </c>
      <c r="C48">
        <v>2506</v>
      </c>
      <c r="D48">
        <v>2265</v>
      </c>
      <c r="E48">
        <v>2647</v>
      </c>
      <c r="F48">
        <v>2737</v>
      </c>
      <c r="G48">
        <v>2848</v>
      </c>
      <c r="H48">
        <v>2625</v>
      </c>
      <c r="I48">
        <v>2816</v>
      </c>
      <c r="J48">
        <v>2854</v>
      </c>
      <c r="K48">
        <v>2563</v>
      </c>
    </row>
    <row r="49" spans="1:11" s="3" customFormat="1" hidden="1" outlineLevel="1" x14ac:dyDescent="0.2">
      <c r="A49" s="3" t="s">
        <v>9</v>
      </c>
      <c r="B49">
        <v>6212</v>
      </c>
      <c r="C49">
        <v>6106</v>
      </c>
      <c r="D49">
        <v>7969</v>
      </c>
      <c r="E49">
        <v>6368</v>
      </c>
      <c r="F49">
        <v>6506</v>
      </c>
      <c r="G49">
        <v>6806</v>
      </c>
      <c r="H49">
        <v>7033</v>
      </c>
      <c r="I49">
        <v>6921</v>
      </c>
      <c r="J49">
        <v>7364</v>
      </c>
      <c r="K49">
        <v>6654</v>
      </c>
    </row>
    <row r="50" spans="1:11" hidden="1" outlineLevel="1" x14ac:dyDescent="0.2">
      <c r="A50" s="3" t="s">
        <v>3</v>
      </c>
      <c r="B50">
        <v>9440</v>
      </c>
      <c r="C50">
        <v>9137</v>
      </c>
      <c r="D50">
        <v>8784</v>
      </c>
      <c r="E50">
        <v>9437</v>
      </c>
      <c r="F50">
        <v>9809</v>
      </c>
      <c r="G50">
        <v>10115</v>
      </c>
      <c r="H50">
        <v>9874</v>
      </c>
      <c r="I50">
        <v>9943</v>
      </c>
      <c r="J50">
        <v>10535</v>
      </c>
      <c r="K50">
        <v>10634</v>
      </c>
    </row>
    <row r="51" spans="1:11" hidden="1" outlineLevel="1" x14ac:dyDescent="0.2">
      <c r="A51" s="3"/>
    </row>
    <row r="52" spans="1:11" hidden="1" outlineLevel="1" x14ac:dyDescent="0.2">
      <c r="A52" s="3"/>
    </row>
    <row r="53" spans="1:11" hidden="1" outlineLevel="1" x14ac:dyDescent="0.2">
      <c r="A53" s="3"/>
    </row>
    <row r="54" spans="1:11" hidden="1" outlineLevel="1" x14ac:dyDescent="0.2">
      <c r="A54" s="3"/>
    </row>
    <row r="55" spans="1:11" hidden="1" outlineLevel="1" x14ac:dyDescent="0.2">
      <c r="A55" s="1" t="s">
        <v>25</v>
      </c>
    </row>
    <row r="56" spans="1:11" s="6" customFormat="1" hidden="1" outlineLevel="1" x14ac:dyDescent="0.2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hidden="1" outlineLevel="1" x14ac:dyDescent="0.2">
      <c r="A57" s="3" t="s">
        <v>10</v>
      </c>
      <c r="B57">
        <v>1144</v>
      </c>
      <c r="C57">
        <v>1144</v>
      </c>
      <c r="D57">
        <v>1088</v>
      </c>
      <c r="E57">
        <v>2170</v>
      </c>
      <c r="F57">
        <v>2122</v>
      </c>
      <c r="G57">
        <v>2124</v>
      </c>
      <c r="H57">
        <v>2098</v>
      </c>
      <c r="I57">
        <v>2069</v>
      </c>
      <c r="J57">
        <v>2071</v>
      </c>
      <c r="K57">
        <v>2073</v>
      </c>
    </row>
    <row r="58" spans="1:11" hidden="1" outlineLevel="1" x14ac:dyDescent="0.2">
      <c r="A58" s="3" t="s">
        <v>11</v>
      </c>
      <c r="B58">
        <v>60600</v>
      </c>
      <c r="C58">
        <v>67838</v>
      </c>
      <c r="D58">
        <v>63835</v>
      </c>
      <c r="E58">
        <v>62778</v>
      </c>
      <c r="F58">
        <v>63328</v>
      </c>
      <c r="G58">
        <v>74227</v>
      </c>
      <c r="H58">
        <v>73252</v>
      </c>
      <c r="I58">
        <v>73338</v>
      </c>
      <c r="J58">
        <v>86045</v>
      </c>
      <c r="K58">
        <v>93745</v>
      </c>
    </row>
    <row r="59" spans="1:11" hidden="1" outlineLevel="1" x14ac:dyDescent="0.2">
      <c r="A59" s="3" t="s">
        <v>35</v>
      </c>
      <c r="F59">
        <v>4633</v>
      </c>
      <c r="G59">
        <v>5325</v>
      </c>
      <c r="H59">
        <v>5474</v>
      </c>
      <c r="I59">
        <v>8299</v>
      </c>
      <c r="J59">
        <v>8359</v>
      </c>
      <c r="K59">
        <v>8227</v>
      </c>
    </row>
    <row r="60" spans="1:11" hidden="1" outlineLevel="1" x14ac:dyDescent="0.2">
      <c r="A60" s="3" t="s">
        <v>36</v>
      </c>
      <c r="B60">
        <v>13354</v>
      </c>
      <c r="C60">
        <v>14166</v>
      </c>
      <c r="D60">
        <v>14426</v>
      </c>
      <c r="E60">
        <v>19118</v>
      </c>
      <c r="F60">
        <v>21717</v>
      </c>
      <c r="G60">
        <v>25835</v>
      </c>
      <c r="H60">
        <v>35905</v>
      </c>
      <c r="I60">
        <v>40890</v>
      </c>
      <c r="J60">
        <v>40885</v>
      </c>
      <c r="K60">
        <v>43750</v>
      </c>
    </row>
    <row r="61" spans="1:11" s="1" customFormat="1" hidden="1" outlineLevel="1" x14ac:dyDescent="0.2">
      <c r="A61" s="1" t="s">
        <v>12</v>
      </c>
      <c r="B61">
        <v>75098</v>
      </c>
      <c r="C61">
        <v>83148</v>
      </c>
      <c r="D61">
        <v>79349</v>
      </c>
      <c r="E61">
        <v>84066</v>
      </c>
      <c r="F61">
        <v>91800</v>
      </c>
      <c r="G61">
        <v>107511</v>
      </c>
      <c r="H61">
        <v>116729</v>
      </c>
      <c r="I61">
        <v>124596</v>
      </c>
      <c r="J61">
        <v>137360</v>
      </c>
      <c r="K61">
        <v>147795</v>
      </c>
    </row>
    <row r="62" spans="1:11" hidden="1" outlineLevel="1" x14ac:dyDescent="0.2">
      <c r="A62" s="3" t="s">
        <v>13</v>
      </c>
      <c r="B62">
        <v>13386</v>
      </c>
      <c r="C62">
        <v>14179</v>
      </c>
      <c r="D62">
        <v>12574</v>
      </c>
      <c r="E62">
        <v>15710</v>
      </c>
      <c r="F62">
        <v>23789</v>
      </c>
      <c r="G62">
        <v>25505</v>
      </c>
      <c r="H62">
        <v>25800</v>
      </c>
      <c r="I62">
        <v>29225</v>
      </c>
      <c r="J62">
        <v>27622</v>
      </c>
      <c r="K62">
        <v>30961</v>
      </c>
    </row>
    <row r="63" spans="1:11" hidden="1" outlineLevel="1" x14ac:dyDescent="0.2">
      <c r="A63" s="3" t="s">
        <v>14</v>
      </c>
      <c r="B63">
        <v>960</v>
      </c>
      <c r="C63">
        <v>1365</v>
      </c>
      <c r="D63">
        <v>1606</v>
      </c>
      <c r="E63">
        <v>1388</v>
      </c>
      <c r="F63">
        <v>954</v>
      </c>
      <c r="G63">
        <v>922</v>
      </c>
      <c r="H63">
        <v>416</v>
      </c>
      <c r="I63">
        <v>288</v>
      </c>
      <c r="J63">
        <v>293</v>
      </c>
      <c r="K63">
        <v>814</v>
      </c>
    </row>
    <row r="64" spans="1:11" hidden="1" outlineLevel="1" x14ac:dyDescent="0.2">
      <c r="A64" s="3" t="s">
        <v>15</v>
      </c>
      <c r="B64">
        <v>1892</v>
      </c>
      <c r="C64">
        <v>16423</v>
      </c>
      <c r="D64">
        <v>12163</v>
      </c>
      <c r="E64">
        <v>11261</v>
      </c>
      <c r="F64">
        <v>8792</v>
      </c>
      <c r="G64">
        <v>14205</v>
      </c>
      <c r="H64">
        <v>20324</v>
      </c>
      <c r="I64">
        <v>19478</v>
      </c>
      <c r="J64">
        <v>24623</v>
      </c>
      <c r="K64">
        <v>23541</v>
      </c>
    </row>
    <row r="65" spans="1:11" hidden="1" outlineLevel="1" x14ac:dyDescent="0.2">
      <c r="A65" s="3" t="s">
        <v>37</v>
      </c>
      <c r="B65">
        <v>58860</v>
      </c>
      <c r="C65">
        <v>51181</v>
      </c>
      <c r="D65">
        <v>53006</v>
      </c>
      <c r="E65">
        <v>55707</v>
      </c>
      <c r="F65">
        <v>58265</v>
      </c>
      <c r="G65">
        <v>66879</v>
      </c>
      <c r="H65">
        <v>70189</v>
      </c>
      <c r="I65">
        <v>75605</v>
      </c>
      <c r="J65">
        <v>84822</v>
      </c>
      <c r="K65">
        <v>92479</v>
      </c>
    </row>
    <row r="66" spans="1:11" s="1" customFormat="1" hidden="1" outlineLevel="1" x14ac:dyDescent="0.2">
      <c r="A66" s="1" t="s">
        <v>12</v>
      </c>
      <c r="B66">
        <v>75098</v>
      </c>
      <c r="C66">
        <v>83148</v>
      </c>
      <c r="D66">
        <v>79349</v>
      </c>
      <c r="E66">
        <v>84066</v>
      </c>
      <c r="F66">
        <v>91800</v>
      </c>
      <c r="G66">
        <v>107511</v>
      </c>
      <c r="H66">
        <v>116729</v>
      </c>
      <c r="I66">
        <v>124596</v>
      </c>
      <c r="J66">
        <v>137360</v>
      </c>
      <c r="K66">
        <v>147795</v>
      </c>
    </row>
    <row r="67" spans="1:11" s="3" customFormat="1" hidden="1" outlineLevel="1" x14ac:dyDescent="0.2">
      <c r="A67" s="3" t="s">
        <v>42</v>
      </c>
      <c r="B67">
        <v>11330</v>
      </c>
      <c r="C67">
        <v>12322</v>
      </c>
      <c r="D67">
        <v>13142</v>
      </c>
      <c r="E67">
        <v>14827</v>
      </c>
      <c r="F67">
        <v>18487</v>
      </c>
      <c r="G67">
        <v>19294</v>
      </c>
      <c r="H67">
        <v>22698</v>
      </c>
      <c r="I67">
        <v>25424</v>
      </c>
      <c r="J67">
        <v>30193</v>
      </c>
      <c r="K67">
        <v>31158</v>
      </c>
    </row>
    <row r="68" spans="1:11" hidden="1" outlineLevel="1" x14ac:dyDescent="0.2">
      <c r="A68" s="3" t="s">
        <v>29</v>
      </c>
    </row>
    <row r="69" spans="1:11" hidden="1" outlineLevel="1" x14ac:dyDescent="0.2">
      <c r="A69" s="2" t="s">
        <v>51</v>
      </c>
      <c r="B69">
        <v>32697</v>
      </c>
      <c r="C69">
        <v>22625</v>
      </c>
      <c r="D69">
        <v>19818</v>
      </c>
      <c r="E69">
        <v>19568</v>
      </c>
      <c r="F69">
        <v>18649</v>
      </c>
      <c r="G69">
        <v>24714</v>
      </c>
      <c r="H69">
        <v>17472</v>
      </c>
      <c r="I69">
        <v>12173</v>
      </c>
      <c r="J69">
        <v>14786</v>
      </c>
      <c r="K69">
        <v>24455</v>
      </c>
    </row>
    <row r="70" spans="1:11" hidden="1" outlineLevel="1" x14ac:dyDescent="0.2">
      <c r="A70" s="2" t="s">
        <v>38</v>
      </c>
      <c r="B70">
        <v>2285621088</v>
      </c>
      <c r="C70">
        <v>2285655150</v>
      </c>
      <c r="D70">
        <v>2173312301</v>
      </c>
      <c r="E70">
        <v>4335954462</v>
      </c>
      <c r="F70">
        <v>4240753210</v>
      </c>
      <c r="G70">
        <v>4245146114</v>
      </c>
      <c r="H70">
        <v>4193012929</v>
      </c>
      <c r="I70">
        <v>4136387925</v>
      </c>
      <c r="J70">
        <v>4139950635</v>
      </c>
      <c r="K70">
        <v>4143607528</v>
      </c>
    </row>
    <row r="71" spans="1:11" hidden="1" outlineLevel="1" x14ac:dyDescent="0.2">
      <c r="A71" s="2" t="s">
        <v>39</v>
      </c>
      <c r="B71">
        <v>1148472332</v>
      </c>
      <c r="E71">
        <v>2184191490</v>
      </c>
    </row>
    <row r="72" spans="1:11" hidden="1" outlineLevel="1" x14ac:dyDescent="0.2">
      <c r="A72" s="2" t="s">
        <v>52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3" spans="1:11" hidden="1" outlineLevel="1" x14ac:dyDescent="0.2"/>
    <row r="74" spans="1:11" hidden="1" outlineLevel="1" x14ac:dyDescent="0.2">
      <c r="A74" s="3"/>
    </row>
    <row r="75" spans="1:11" hidden="1" outlineLevel="1" x14ac:dyDescent="0.2">
      <c r="A75" s="3"/>
    </row>
    <row r="76" spans="1:11" hidden="1" outlineLevel="1" x14ac:dyDescent="0.2">
      <c r="A76" s="3"/>
    </row>
    <row r="77" spans="1:11" hidden="1" outlineLevel="1" x14ac:dyDescent="0.2">
      <c r="A77" s="3"/>
    </row>
    <row r="78" spans="1:11" hidden="1" outlineLevel="1" x14ac:dyDescent="0.2">
      <c r="A78" s="3"/>
    </row>
    <row r="79" spans="1:11" hidden="1" outlineLevel="1" x14ac:dyDescent="0.2">
      <c r="A79" s="3"/>
    </row>
    <row r="80" spans="1:11" hidden="1" outlineLevel="1" x14ac:dyDescent="0.2">
      <c r="A80" s="1" t="s">
        <v>26</v>
      </c>
    </row>
    <row r="81" spans="1:11" s="6" customFormat="1" collapsed="1" x14ac:dyDescent="0.2">
      <c r="A81" s="5" t="s">
        <v>23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2">
      <c r="A82" s="3" t="s">
        <v>17</v>
      </c>
      <c r="B82">
        <v>10028</v>
      </c>
      <c r="C82">
        <v>11531</v>
      </c>
      <c r="D82">
        <v>13218</v>
      </c>
      <c r="E82">
        <v>14841</v>
      </c>
      <c r="F82">
        <v>17003</v>
      </c>
      <c r="G82">
        <v>23224</v>
      </c>
      <c r="H82">
        <v>23885</v>
      </c>
      <c r="I82">
        <v>22467</v>
      </c>
      <c r="J82">
        <v>25210</v>
      </c>
      <c r="K82">
        <v>35694</v>
      </c>
    </row>
    <row r="83" spans="1:11" s="3" customFormat="1" x14ac:dyDescent="0.2">
      <c r="A83" s="3" t="s">
        <v>18</v>
      </c>
      <c r="B83">
        <v>-885</v>
      </c>
      <c r="C83">
        <v>-14664</v>
      </c>
      <c r="D83">
        <v>4533</v>
      </c>
      <c r="E83">
        <v>-632</v>
      </c>
      <c r="F83">
        <v>-331</v>
      </c>
      <c r="G83">
        <v>-7373</v>
      </c>
      <c r="H83">
        <v>-6485</v>
      </c>
      <c r="I83">
        <v>-1071</v>
      </c>
      <c r="J83">
        <v>-5093</v>
      </c>
      <c r="K83">
        <v>-1864</v>
      </c>
    </row>
    <row r="84" spans="1:11" s="3" customFormat="1" x14ac:dyDescent="0.2">
      <c r="A84" s="3" t="s">
        <v>19</v>
      </c>
      <c r="B84">
        <v>-6813</v>
      </c>
      <c r="C84">
        <v>-6939</v>
      </c>
      <c r="D84">
        <v>-20505</v>
      </c>
      <c r="E84">
        <v>-14512</v>
      </c>
      <c r="F84">
        <v>-17591</v>
      </c>
      <c r="G84">
        <v>-9786</v>
      </c>
      <c r="H84">
        <v>-24642</v>
      </c>
      <c r="I84">
        <v>-26695</v>
      </c>
      <c r="J84">
        <v>-17504</v>
      </c>
      <c r="K84">
        <v>-24161</v>
      </c>
    </row>
    <row r="85" spans="1:11" s="1" customFormat="1" x14ac:dyDescent="0.2">
      <c r="A85" s="3" t="s">
        <v>20</v>
      </c>
      <c r="B85">
        <v>2330</v>
      </c>
      <c r="C85">
        <v>-10072</v>
      </c>
      <c r="D85">
        <v>-2754</v>
      </c>
      <c r="E85">
        <v>-303</v>
      </c>
      <c r="F85">
        <v>-919</v>
      </c>
      <c r="G85">
        <v>6065</v>
      </c>
      <c r="H85">
        <v>-7242</v>
      </c>
      <c r="I85">
        <v>-5299</v>
      </c>
      <c r="J85">
        <v>2613</v>
      </c>
      <c r="K85">
        <v>9669</v>
      </c>
    </row>
    <row r="86" spans="1:11" x14ac:dyDescent="0.2">
      <c r="A86" s="3" t="s">
        <v>133</v>
      </c>
      <c r="G86" s="2">
        <f>ABS(G83)</f>
        <v>7373</v>
      </c>
      <c r="H86" s="2">
        <f t="shared" ref="H86:J86" si="0">ABS(H83)</f>
        <v>6485</v>
      </c>
      <c r="I86" s="2">
        <f t="shared" si="0"/>
        <v>1071</v>
      </c>
      <c r="J86" s="2">
        <f t="shared" si="0"/>
        <v>5093</v>
      </c>
      <c r="K86" s="2">
        <f>ABS(K83)</f>
        <v>1864</v>
      </c>
    </row>
    <row r="87" spans="1:11" x14ac:dyDescent="0.2">
      <c r="A87" s="3" t="s">
        <v>134</v>
      </c>
      <c r="G87" s="2">
        <f>G67</f>
        <v>19294</v>
      </c>
      <c r="H87" s="2">
        <f>H67</f>
        <v>22698</v>
      </c>
      <c r="I87" s="2">
        <f t="shared" ref="I87:K87" si="1">I67</f>
        <v>25424</v>
      </c>
      <c r="J87" s="2">
        <f t="shared" si="1"/>
        <v>30193</v>
      </c>
      <c r="K87" s="2">
        <f t="shared" si="1"/>
        <v>31158</v>
      </c>
    </row>
    <row r="88" spans="1:11" x14ac:dyDescent="0.2">
      <c r="A88" s="3"/>
    </row>
    <row r="89" spans="1:11" x14ac:dyDescent="0.2">
      <c r="A89" s="3"/>
    </row>
    <row r="90" spans="1:11" s="1" customFormat="1" x14ac:dyDescent="0.2">
      <c r="A90" s="1" t="s">
        <v>41</v>
      </c>
      <c r="B90">
        <v>609.15</v>
      </c>
      <c r="C90">
        <v>511.13</v>
      </c>
      <c r="D90">
        <v>565.9</v>
      </c>
      <c r="E90">
        <v>743.85</v>
      </c>
      <c r="F90">
        <v>641.5</v>
      </c>
      <c r="G90">
        <v>1368.05</v>
      </c>
      <c r="H90">
        <v>1906.85</v>
      </c>
      <c r="I90">
        <v>1427.95</v>
      </c>
      <c r="J90">
        <v>1498.05</v>
      </c>
      <c r="K90">
        <v>1570.65</v>
      </c>
    </row>
    <row r="92" spans="1:11" s="1" customFormat="1" x14ac:dyDescent="0.2">
      <c r="A92" s="1" t="s">
        <v>40</v>
      </c>
    </row>
    <row r="93" spans="1:11" x14ac:dyDescent="0.2">
      <c r="A93" s="2" t="s">
        <v>53</v>
      </c>
      <c r="B93" s="7">
        <v>459.39</v>
      </c>
      <c r="C93" s="7">
        <v>459.39</v>
      </c>
      <c r="D93" s="7">
        <v>436.82</v>
      </c>
      <c r="E93" s="7">
        <v>436.89</v>
      </c>
      <c r="F93" s="7">
        <v>425.9</v>
      </c>
      <c r="G93" s="7">
        <v>426.07</v>
      </c>
      <c r="H93" s="7">
        <v>420.67</v>
      </c>
      <c r="I93" s="7">
        <v>414.86</v>
      </c>
      <c r="J93" s="7">
        <v>415.09</v>
      </c>
      <c r="K93" s="7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DCF</vt:lpstr>
      <vt:lpstr>CCM</vt:lpstr>
      <vt:lpstr>Data Sheet</vt:lpstr>
      <vt:lpstr>tax_rate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trishala singh</cp:lastModifiedBy>
  <cp:lastPrinted>2012-12-06T18:14:13Z</cp:lastPrinted>
  <dcterms:created xsi:type="dcterms:W3CDTF">2012-08-17T09:55:37Z</dcterms:created>
  <dcterms:modified xsi:type="dcterms:W3CDTF">2026-08-12T10:27:24Z</dcterms:modified>
</cp:coreProperties>
</file>